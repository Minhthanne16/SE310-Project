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9f836aa34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DASHBOARD" sheetId="1" r:id="Rccc57b208c4b4c53"/>
    <x:sheet xmlns:r="http://schemas.openxmlformats.org/officeDocument/2006/relationships" name="MODULE OVERVIEW" sheetId="2" r:id="Rf2c36b668d364448"/>
    <x:sheet xmlns:r="http://schemas.openxmlformats.org/officeDocument/2006/relationships" name="DETAILED TASK BREAKDOWN" sheetId="3" r:id="Reac7b0f898014b7b"/>
    <x:sheet xmlns:r="http://schemas.openxmlformats.org/officeDocument/2006/relationships" name="TEAM WORKLOAD" sheetId="4" r:id="R4076c63c28574d3b"/>
    <x:sheet xmlns:r="http://schemas.openxmlformats.org/officeDocument/2006/relationships" name="CODEBASE ANALYSIS" sheetId="5" r:id="Rb4f94c4858bb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dd/mm/yyyy"/>
  </x:numFmts>
  <x:fonts count="7">
    <x:font>
      <x:sz val="11"/>
      <x:name val="Carlito"/>
    </x:font>
    <x:font>
      <x:sz val="10"/>
      <x:color rgb="FF21313C"/>
      <x:name val="Arial"/>
    </x:font>
    <x:font>
      <x:b/>
      <x:sz val="15"/>
      <x:color rgb="FF1D3348"/>
      <x:name val="Arial"/>
    </x:font>
    <x:font>
      <x:b/>
      <x:sz val="10"/>
      <x:color rgb="FFFFFFFF"/>
      <x:name val="Arial"/>
    </x:font>
    <x:font>
      <x:i/>
      <x:sz val="10"/>
      <x:color rgb="FF637889"/>
      <x:name val="Arial"/>
    </x:font>
    <x:font>
      <x:b/>
      <x:sz val="12"/>
      <x:color rgb="FF167D86"/>
      <x:name val="Arial"/>
    </x:font>
    <x:font>
      <x:b/>
      <x:sz val="12"/>
      <x:color rgb="FF1D334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3348"/>
      </x:patternFill>
    </x:fill>
    <x:fill>
      <x:patternFill patternType="solid">
        <x:fgColor rgb="FFFFF1C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1DFE4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2" fontId="1" fillId="3" borderId="0" xfId="0" applyNumberFormat="1" applyFont="1" applyFill="1" applyBorder="1"/>
    <x:xf numFmtId="202" fontId="0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FDECEA"/>
        </x:patternFill>
      </x:fill>
    </x:dxf>
    <x:dxf>
      <x:fill>
        <x:patternFill patternType="solid">
          <x:bgColor rgb="FFDDF3D8"/>
        </x:patternFill>
      </x:fill>
    </x:dxf>
    <x:dxf>
      <x:fill>
        <x:patternFill patternType="solid">
          <x:bgColor rgb="FFEDE7FB"/>
        </x:patternFill>
      </x:fill>
    </x:dxf>
    <x:dxf>
      <x:fill>
        <x:patternFill patternType="solid">
          <x:bgColor rgb="FFE3EC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ef3b02f9742f0" /><Relationship Type="http://schemas.openxmlformats.org/officeDocument/2006/relationships/theme" Target="/xl/theme/theme1.xml" Id="R7f55766ce71e471b" /><Relationship Type="http://schemas.openxmlformats.org/officeDocument/2006/relationships/sharedStrings" Target="/xl/sharedStrings.xml" Id="R398c7aba594241f7" /><Relationship Type="http://schemas.openxmlformats.org/officeDocument/2006/relationships/worksheet" Target="/xl/worksheets/sheet1.xml" Id="Rccc57b208c4b4c53" /><Relationship Type="http://schemas.openxmlformats.org/officeDocument/2006/relationships/worksheet" Target="/xl/worksheets/sheet2.xml" Id="Rf2c36b668d364448" /><Relationship Type="http://schemas.openxmlformats.org/officeDocument/2006/relationships/worksheet" Target="/xl/worksheets/sheet3.xml" Id="Reac7b0f898014b7b" /><Relationship Type="http://schemas.openxmlformats.org/officeDocument/2006/relationships/worksheet" Target="/xl/worksheets/sheet4.xml" Id="R4076c63c28574d3b" /><Relationship Type="http://schemas.openxmlformats.org/officeDocument/2006/relationships/worksheet" Target="/xl/worksheets/sheet5.xml" Id="Rb4f94c4858bb4c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0b04948aa2483a" /><Relationship Type="http://schemas.openxmlformats.org/officeDocument/2006/relationships/chart" Target="/xl/drawings/charts/chart2.xml" Id="R0fc4abfbb1be47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Tiến độ theo module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Hoàn thành</c:v>
          </c:tx>
          <c:spPr>
            <a:solidFill xmlns:a="http://schemas.openxmlformats.org/drawingml/2006/main">
              <a:srgbClr val="167D86"/>
            </a:solidFill>
          </c:spPr>
          <c:invertIfNegative val="0"/>
          <c:cat>
            <c:strRef>
              <c:f>'PROJECT DASHBOARD'!$A$14:$A$25</c:f>
              <c:strCache>
                <c:ptCount val="0"/>
              </c:strCache>
            </c:strRef>
          </c:cat>
          <c:val>
            <c:numRef>
              <c:f>'PROJECT DASHBOARD'!$B$14:$B$25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Ngày công đã phân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Ngày công</c:v>
          </c:tx>
          <c:spPr>
            <a:solidFill xmlns:a="http://schemas.openxmlformats.org/drawingml/2006/main">
              <a:srgbClr val="6B8FB3"/>
            </a:solidFill>
          </c:spPr>
          <c:invertIfNegative val="0"/>
          <c:cat>
            <c:strRef>
              <c:f>'PROJECT DASHBOARD'!$A$31:$A$50</c:f>
              <c:strCache>
                <c:ptCount val="0"/>
              </c:strCache>
            </c:strRef>
          </c:cat>
          <c:val>
            <c:numRef>
              <c:f>'PROJECT DASHBOARD'!$B$31:$B$50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0b04948aa2483a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c4abfbb1be47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odulesTable" displayName="ModulesTable" ref="A4:M16" headerRowCount="1" totalsRowCount="0" totalsRowShown="0">
  <x:tableColumns count="13">
    <x:tableColumn id="1" name="Module ID"/>
    <x:tableColumn id="2" name="Module Name"/>
    <x:tableColumn id="3" name="Module Description"/>
    <x:tableColumn id="4" name="Current Implementation Status"/>
    <x:tableColumn id="5" name="Module Owner"/>
    <x:tableColumn id="6" name="Completion (%)"/>
    <x:tableColumn id="7" name="Total Tasks"/>
    <x:tableColumn id="8" name="Completed Tasks"/>
    <x:tableColumn id="9" name="Priority"/>
    <x:tableColumn id="10" name="Complexity"/>
    <x:tableColumn id="11" name="Dependencies"/>
    <x:tableColumn id="12" name="Estimated Effort (days)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sksTable" displayName="TasksTable" ref="A4:U54" headerRowCount="1" totalsRowCount="0" totalsRowShown="0">
  <x:tableColumns count="21">
    <x:tableColumn id="1" name="Task ID"/>
    <x:tableColumn id="2" name="Module ID"/>
    <x:tableColumn id="3" name="Module Name"/>
    <x:tableColumn id="4" name="Module Description"/>
    <x:tableColumn id="5" name="Task Name"/>
    <x:tableColumn id="6" name="Detailed Task Description"/>
    <x:tableColumn id="7" name="Implementation Steps"/>
    <x:tableColumn id="8" name="Assigned To"/>
    <x:tableColumn id="9" name="Recommended Role"/>
    <x:tableColumn id="10" name="Task Status"/>
    <x:tableColumn id="11" name="Completion (%)"/>
    <x:tableColumn id="12" name="Priority"/>
    <x:tableColumn id="13" name="Estimated Effort (days)"/>
    <x:tableColumn id="14" name="Start Date"/>
    <x:tableColumn id="15" name="Due Date"/>
    <x:tableColumn id="16" name="Dependencies (Task IDs)"/>
    <x:tableColumn id="17" name="Affected Files / Components"/>
    <x:tableColumn id="18" name="Expected Deliverables"/>
    <x:tableColumn id="19" name="Acceptance Criteria"/>
    <x:tableColumn id="20" name="Notes / Blockers"/>
    <x:tableColumn id="21" name="Priority Que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mTable" displayName="TeamTable" ref="A4:I54" headerRowCount="1" totalsRowCount="0" totalsRowShown="0">
  <x:tableColumns count="9">
    <x:tableColumn id="1" name="Member Name"/>
    <x:tableColumn id="2" name="Role"/>
    <x:tableColumn id="3" name="Assigned Modules (count)"/>
    <x:tableColumn id="4" name="Total Assigned Tasks"/>
    <x:tableColumn id="5" name="Completed Tasks"/>
    <x:tableColumn id="6" name="In Progress Tasks"/>
    <x:tableColumn id="7" name="Total Estimated Effort (days)"/>
    <x:tableColumn id="8" name="Overall Completion (%)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alysisTable" displayName="AnalysisTable" ref="A4:I16" headerRowCount="1" totalsRowCount="0" totalsRowShown="0">
  <x:tableColumns count="9">
    <x:tableColumn id="1" name="Module ID"/>
    <x:tableColumn id="2" name="Module Name"/>
    <x:tableColumn id="3" name="Current Implementation"/>
    <x:tableColumn id="4" name="Missing Features"/>
    <x:tableColumn id="5" name="Existing File References"/>
    <x:tableColumn id="6" name="Architectural Concerns"/>
    <x:tableColumn id="7" name="Required Improvements"/>
    <x:tableColumn id="8" name="Verification 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41835d946f46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27878fb0a149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a4a2d60dbc47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7733456cb14e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bd406ba31947d4" /></Relationships>
</file>

<file path=xl/worksheets/sheet1.xml><?xml version="1.0" encoding="utf-8"?>
<x:worksheet xmlns:x="http://schemas.openxmlformats.org/spreadsheetml/2006/main">
  <x:sheetPr>
    <x:tabColor rgb="FF1D3348"/>
  </x:sheetPr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30"/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31" t="str">
        <x:v>TỔNG QUAN KẾ HOẠCH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0"/>
      <x:c r="L3" s="30"/>
      <x:c r="M3" s="1"/>
      <x:c r="N3" s="1"/>
      <x:c r="O3" s="1"/>
      <x:c r="P3" s="1"/>
      <x:c r="Q3" s="1"/>
      <x:c r="R3" s="1"/>
      <x:c r="S3" s="1"/>
      <x:c r="T3" s="1"/>
      <x:c r="U3" s="1"/>
    </x:row>
    <x:row r="4" ht="28" customHeight="1">
      <x:c r="A4" s="33" t="str">
        <x:v>Chỉ số</x:v>
      </x:c>
      <x:c r="B4" s="33" t="str">
        <x:v>Giá trị</x:v>
      </x:c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1"/>
      <x:c r="N4" s="1"/>
      <x:c r="O4" s="1"/>
      <x:c r="P4" s="1"/>
      <x:c r="Q4" s="1"/>
      <x:c r="R4" s="1"/>
      <x:c r="S4" s="1"/>
      <x:c r="T4" s="1"/>
      <x:c r="U4" s="1"/>
    </x:row>
    <x:row r="5" ht="27" customHeight="1">
      <x:c r="A5" s="30" t="str">
        <x:v>Module</x:v>
      </x:c>
      <x:c r="B5" s="34" t="n">
        <x:f>COUNTIFS('MODULE OVERVIEW'!$A$5:$A$100,"&lt;&gt;")</x:f>
        <x:v>12</x:v>
      </x:c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1"/>
      <x:c r="N5" s="1"/>
      <x:c r="O5" s="1"/>
      <x:c r="P5" s="1"/>
      <x:c r="Q5" s="1"/>
      <x:c r="R5" s="1"/>
      <x:c r="S5" s="1"/>
      <x:c r="T5" s="1"/>
      <x:c r="U5" s="1"/>
    </x:row>
    <x:row r="6" ht="27" customHeight="1">
      <x:c r="A6" s="30" t="str">
        <x:v>Task</x:v>
      </x:c>
      <x:c r="B6" s="34" t="n">
        <x:f>COUNTIFS('DETAILED TASK BREAKDOWN'!$A$5:$A$1000,"&lt;&gt;")</x:f>
        <x:v>50</x:v>
      </x:c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1"/>
      <x:c r="N6" s="1"/>
      <x:c r="O6" s="1"/>
      <x:c r="P6" s="1"/>
      <x:c r="Q6" s="1"/>
      <x:c r="R6" s="1"/>
      <x:c r="S6" s="1"/>
      <x:c r="T6" s="1"/>
      <x:c r="U6" s="1"/>
    </x:row>
    <x:row r="7" ht="27" customHeight="1">
      <x:c r="A7" s="30" t="str">
        <x:v>Đã hoàn thành</x:v>
      </x:c>
      <x:c r="B7" s="34" t="n">
        <x:f>COUNTIFS('DETAILED TASK BREAKDOWN'!$J$5:$J$1000,"Done")</x:f>
        <x:v>0</x:v>
      </x:c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1"/>
      <x:c r="N7" s="1"/>
      <x:c r="O7" s="1"/>
      <x:c r="P7" s="1"/>
      <x:c r="Q7" s="1"/>
      <x:c r="R7" s="1"/>
      <x:c r="S7" s="1"/>
      <x:c r="T7" s="1"/>
      <x:c r="U7" s="1"/>
    </x:row>
    <x:row r="8" ht="27" customHeight="1">
      <x:c r="A8" s="30" t="str">
        <x:v>Đang thực hiện</x:v>
      </x:c>
      <x:c r="B8" s="34" t="n">
        <x:f>COUNTIFS('DETAILED TASK BREAKDOWN'!$J$5:$J$1000,"In Progress")</x:f>
        <x:v>0</x:v>
      </x:c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1"/>
      <x:c r="N8" s="1"/>
      <x:c r="O8" s="1"/>
      <x:c r="P8" s="1"/>
      <x:c r="Q8" s="1"/>
      <x:c r="R8" s="1"/>
      <x:c r="S8" s="1"/>
      <x:c r="T8" s="1"/>
      <x:c r="U8" s="1"/>
    </x:row>
    <x:row r="9" ht="27" customHeight="1">
      <x:c r="A9" s="30" t="str">
        <x:v>Bị chặn</x:v>
      </x:c>
      <x:c r="B9" s="34" t="n">
        <x:f>COUNTIFS('DETAILED TASK BREAKDOWN'!$J$5:$J$1000,"Blocked")</x:f>
        <x:v>10</x:v>
      </x:c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1"/>
      <x:c r="N9" s="1"/>
      <x:c r="O9" s="1"/>
      <x:c r="P9" s="1"/>
      <x:c r="Q9" s="1"/>
      <x:c r="R9" s="1"/>
      <x:c r="S9" s="1"/>
      <x:c r="T9" s="1"/>
      <x:c r="U9" s="1"/>
    </x:row>
    <x:row r="10" ht="27" customHeight="1">
      <x:c r="A10" s="30" t="str">
        <x:v>Tiến độ kế hoạch</x:v>
      </x:c>
      <x:c r="B10" s="35" t="n">
        <x:f>IF(SUM('DETAILED TASK BREAKDOWN'!$M$5:$M$1000)=0,"",SUMPRODUCT('DETAILED TASK BREAKDOWN'!$K$5:$K$1000,'DETAILED TASK BREAKDOWN'!$M$5:$M$1000)/SUM('DETAILED TASK BREAKDOWN'!$M$5:$M$1000))</x:f>
        <x:v>0</x:v>
      </x:c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36" t="str">
        <x:v>Tiến độ theo module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33" t="str">
        <x:v>Module</x:v>
      </x:c>
      <x:c r="B13" s="33" t="str">
        <x:v>Hoàn thành</x:v>
      </x:c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30" t="str">
        <x:f>'MODULE OVERVIEW'!B5</x:f>
        <x:v>Quyết định nghiệp vụ và hợp đồng</x:v>
      </x:c>
      <x:c r="B14" s="37" t="n">
        <x:f>'MODULE OVERVIEW'!F5</x:f>
        <x:v>0</x:v>
      </x:c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30" t="str">
        <x:f>'MODULE OVERVIEW'!B6</x:f>
        <x:v>Xác thực và hồ sơ</x:v>
      </x:c>
      <x:c r="B15" s="37" t="n">
        <x:f>'MODULE OVERVIEW'!F6</x:f>
        <x:v>0</x:v>
      </x:c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30" t="str">
        <x:f>'MODULE OVERVIEW'!B7</x:f>
        <x:v>Quản lý người dùng</x:v>
      </x:c>
      <x:c r="B16" s="37" t="n">
        <x:f>'MODULE OVERVIEW'!F7</x:f>
        <x:v>0</x:v>
      </x:c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30" t="str">
        <x:f>'MODULE OVERVIEW'!B8</x:f>
        <x:v>Đợt khóa luận</x:v>
      </x:c>
      <x:c r="B17" s="37" t="n">
        <x:f>'MODULE OVERVIEW'!F8</x:f>
        <x:v>0</x:v>
      </x:c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30" t="str">
        <x:f>'MODULE OVERVIEW'!B9</x:f>
        <x:v>Đề tài và đăng ký</x:v>
      </x:c>
      <x:c r="B18" s="37" t="n">
        <x:f>'MODULE OVERVIEW'!F9</x:f>
        <x:v>0</x:v>
      </x:c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30" t="str">
        <x:f>'MODULE OVERVIEW'!B10</x:f>
        <x:v>Tài liệu và đề cương</x:v>
      </x:c>
      <x:c r="B19" s="37" t="n">
        <x:f>'MODULE OVERVIEW'!F10</x:f>
        <x:v>0</x:v>
      </x:c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30" t="str">
        <x:f>'MODULE OVERVIEW'!B11</x:f>
        <x:v>Phân công phản biện</x:v>
      </x:c>
      <x:c r="B20" s="37" t="n">
        <x:f>'MODULE OVERVIEW'!F11</x:f>
        <x:v>0</x:v>
      </x:c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30" t="str">
        <x:f>'MODULE OVERVIEW'!B12</x:f>
        <x:v>Hội đồng và lịch bảo vệ</x:v>
      </x:c>
      <x:c r="B21" s="37" t="n">
        <x:f>'MODULE OVERVIEW'!F12</x:f>
        <x:v>0</x:v>
      </x:c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30" t="str">
        <x:f>'MODULE OVERVIEW'!B13</x:f>
        <x:v>Phiếu đánh giá và điểm</x:v>
      </x:c>
      <x:c r="B22" s="37" t="n">
        <x:f>'MODULE OVERVIEW'!F13</x:f>
        <x:v>0</x:v>
      </x:c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30" t="str">
        <x:f>'MODULE OVERVIEW'!B14</x:f>
        <x:v>Kết quả và công bố</x:v>
      </x:c>
      <x:c r="B23" s="37" t="n">
        <x:f>'MODULE OVERVIEW'!F14</x:f>
        <x:v>0</x:v>
      </x:c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30" t="str">
        <x:f>'MODULE OVERVIEW'!B15</x:f>
        <x:v>Thông báo và lịch sử</x:v>
      </x:c>
      <x:c r="B24" s="37" t="n">
        <x:f>'MODULE OVERVIEW'!F15</x:f>
        <x:v>0</x:v>
      </x:c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30" t="str">
        <x:f>'MODULE OVERVIEW'!B16</x:f>
        <x:v>Trang chủ, thống kê và kiểm chứng</x:v>
      </x:c>
      <x:c r="B25" s="37" t="n">
        <x:f>'MODULE OVERVIEW'!F16</x:f>
        <x:v>0</x:v>
      </x:c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36" t="str">
        <x:v>Workload theo thành viên</x:v>
      </x:c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33" t="str">
        <x:v>Thành viên</x:v>
      </x:c>
      <x:c r="B30" s="33" t="str">
        <x:v>Ngày công</x:v>
      </x:c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30" t="str">
        <x:f>IF('TEAM WORKLOAD'!A6="","",'TEAM WORKLOAD'!A6)</x:f>
      </x:c>
      <x:c r="B31" s="30" t="str">
        <x:f>IF('TEAM WORKLOAD'!A6="","",'TEAM WORKLOAD'!G6)</x:f>
      </x:c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30" t="str">
        <x:f>IF('TEAM WORKLOAD'!A7="","",'TEAM WORKLOAD'!A7)</x:f>
      </x:c>
      <x:c r="B32" s="30" t="str">
        <x:f>IF('TEAM WORKLOAD'!A7="","",'TEAM WORKLOAD'!G7)</x:f>
      </x:c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30" t="str">
        <x:f>IF('TEAM WORKLOAD'!A8="","",'TEAM WORKLOAD'!A8)</x:f>
      </x:c>
      <x:c r="B33" s="30" t="str">
        <x:f>IF('TEAM WORKLOAD'!A8="","",'TEAM WORKLOAD'!G8)</x:f>
      </x:c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30" t="str">
        <x:f>IF('TEAM WORKLOAD'!A9="","",'TEAM WORKLOAD'!A9)</x:f>
      </x:c>
      <x:c r="B34" s="30" t="str">
        <x:f>IF('TEAM WORKLOAD'!A9="","",'TEAM WORKLOAD'!G9)</x:f>
      </x:c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30" t="str">
        <x:f>IF('TEAM WORKLOAD'!A10="","",'TEAM WORKLOAD'!A10)</x:f>
      </x:c>
      <x:c r="B35" s="30" t="str">
        <x:f>IF('TEAM WORKLOAD'!A10="","",'TEAM WORKLOAD'!G10)</x:f>
      </x:c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30" t="str">
        <x:f>IF('TEAM WORKLOAD'!A11="","",'TEAM WORKLOAD'!A11)</x:f>
      </x:c>
      <x:c r="B36" s="30" t="str">
        <x:f>IF('TEAM WORKLOAD'!A11="","",'TEAM WORKLOAD'!G11)</x:f>
      </x:c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30" t="str">
        <x:f>IF('TEAM WORKLOAD'!A12="","",'TEAM WORKLOAD'!A12)</x:f>
      </x:c>
      <x:c r="B37" s="30" t="str">
        <x:f>IF('TEAM WORKLOAD'!A12="","",'TEAM WORKLOAD'!G12)</x:f>
      </x:c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30" t="str">
        <x:f>IF('TEAM WORKLOAD'!A13="","",'TEAM WORKLOAD'!A13)</x:f>
      </x:c>
      <x:c r="B38" s="30" t="str">
        <x:f>IF('TEAM WORKLOAD'!A13="","",'TEAM WORKLOAD'!G13)</x:f>
      </x:c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30" t="str">
        <x:f>IF('TEAM WORKLOAD'!A14="","",'TEAM WORKLOAD'!A14)</x:f>
      </x:c>
      <x:c r="B39" s="30" t="str">
        <x:f>IF('TEAM WORKLOAD'!A14="","",'TEAM WORKLOAD'!G14)</x:f>
      </x:c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30" t="str">
        <x:f>IF('TEAM WORKLOAD'!A15="","",'TEAM WORKLOAD'!A15)</x:f>
      </x:c>
      <x:c r="B40" s="30" t="str">
        <x:f>IF('TEAM WORKLOAD'!A15="","",'TEAM WORKLOAD'!G15)</x:f>
      </x:c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30" t="str">
        <x:f>IF('TEAM WORKLOAD'!A16="","",'TEAM WORKLOAD'!A16)</x:f>
      </x:c>
      <x:c r="B41" s="30" t="str">
        <x:f>IF('TEAM WORKLOAD'!A16="","",'TEAM WORKLOAD'!G16)</x:f>
      </x:c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30" t="str">
        <x:f>IF('TEAM WORKLOAD'!A17="","",'TEAM WORKLOAD'!A17)</x:f>
      </x:c>
      <x:c r="B42" s="30" t="str">
        <x:f>IF('TEAM WORKLOAD'!A17="","",'TEAM WORKLOAD'!G17)</x:f>
      </x:c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30" t="str">
        <x:f>IF('TEAM WORKLOAD'!A18="","",'TEAM WORKLOAD'!A18)</x:f>
      </x:c>
      <x:c r="B43" s="30" t="str">
        <x:f>IF('TEAM WORKLOAD'!A18="","",'TEAM WORKLOAD'!G18)</x:f>
      </x:c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30" t="str">
        <x:f>IF('TEAM WORKLOAD'!A19="","",'TEAM WORKLOAD'!A19)</x:f>
      </x:c>
      <x:c r="B44" s="30" t="str">
        <x:f>IF('TEAM WORKLOAD'!A19="","",'TEAM WORKLOAD'!G19)</x:f>
      </x:c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30" t="str">
        <x:f>IF('TEAM WORKLOAD'!A20="","",'TEAM WORKLOAD'!A20)</x:f>
      </x:c>
      <x:c r="B45" s="30" t="str">
        <x:f>IF('TEAM WORKLOAD'!A20="","",'TEAM WORKLOAD'!G20)</x:f>
      </x:c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30" t="str">
        <x:f>IF('TEAM WORKLOAD'!A21="","",'TEAM WORKLOAD'!A21)</x:f>
      </x:c>
      <x:c r="B46" s="30" t="str">
        <x:f>IF('TEAM WORKLOAD'!A21="","",'TEAM WORKLOAD'!G21)</x:f>
      </x:c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30" t="str">
        <x:f>IF('TEAM WORKLOAD'!A22="","",'TEAM WORKLOAD'!A22)</x:f>
      </x:c>
      <x:c r="B47" s="30" t="str">
        <x:f>IF('TEAM WORKLOAD'!A22="","",'TEAM WORKLOAD'!G22)</x:f>
      </x:c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30" t="str">
        <x:f>IF('TEAM WORKLOAD'!A23="","",'TEAM WORKLOAD'!A23)</x:f>
      </x:c>
      <x:c r="B48" s="30" t="str">
        <x:f>IF('TEAM WORKLOAD'!A23="","",'TEAM WORKLOAD'!G23)</x:f>
      </x:c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30" t="str">
        <x:f>IF('TEAM WORKLOAD'!A24="","",'TEAM WORKLOAD'!A24)</x:f>
      </x:c>
      <x:c r="B49" s="30" t="str">
        <x:f>IF('TEAM WORKLOAD'!A24="","",'TEAM WORKLOAD'!G24)</x:f>
      </x:c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30" t="str">
        <x:f>IF('TEAM WORKLOAD'!A25="","",'TEAM WORKLOAD'!A25)</x:f>
      </x:c>
      <x:c r="B50" s="30" t="str">
        <x:f>IF('TEAM WORKLOAD'!A25="","",'TEAM WORKLOAD'!G25)</x:f>
      </x:c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36" t="str">
        <x:v>Task ưu tiên cần xử lý</x:v>
      </x:c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33" t="str">
        <x:v>Task ID</x:v>
      </x:c>
      <x:c r="B54" s="33" t="str">
        <x:v>Tên task</x:v>
      </x:c>
      <x:c r="C54" s="33" t="str">
        <x:v>Trạng thái</x:v>
      </x:c>
      <x:c r="D54" s="30"/>
      <x:c r="E54" s="30"/>
      <x:c r="F54" s="30"/>
      <x:c r="G54" s="30"/>
      <x:c r="H54" s="30"/>
      <x:c r="I54" s="30"/>
      <x:c r="J54" s="30"/>
      <x:c r="K54" s="30"/>
      <x:c r="L54" s="30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30" t="str">
        <x:f>IFERROR(INDEX('DETAILED TASK BREAKDOWN'!$A$5:$A$54,MATCH(1,'DETAILED TASK BREAKDOWN'!$U$5:$U$54,0)),"")</x:f>
        <x:v>TASK-001</x:v>
      </x:c>
      <x:c r="B55" s="30" t="str">
        <x:f>IFERROR(INDEX('DETAILED TASK BREAKDOWN'!$E$5:$E$54,MATCH(1,'DETAILED TASK BREAKDOWN'!$U$5:$U$54,0)),"")</x:f>
        <x:v>Chốt OQ-001 về hủy đề xuất</x:v>
      </x:c>
      <x:c r="C55" s="30" t="str">
        <x:f>IFERROR(INDEX('DETAILED TASK BREAKDOWN'!$J$5:$J$54,MATCH(1,'DETAILED TASK BREAKDOWN'!$U$5:$U$54,0)),"")</x:f>
        <x:v>Not Started</x:v>
      </x:c>
      <x:c r="D55" s="30"/>
      <x:c r="E55" s="30"/>
      <x:c r="F55" s="30"/>
      <x:c r="G55" s="30"/>
      <x:c r="H55" s="30"/>
      <x:c r="I55" s="30"/>
      <x:c r="J55" s="30"/>
      <x:c r="K55" s="30"/>
      <x:c r="L55" s="30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30" t="str">
        <x:f>IFERROR(INDEX('DETAILED TASK BREAKDOWN'!$A$5:$A$54,MATCH(2,'DETAILED TASK BREAKDOWN'!$U$5:$U$54,0)),"")</x:f>
        <x:v>TASK-002</x:v>
      </x:c>
      <x:c r="B56" s="30" t="str">
        <x:f>IFERROR(INDEX('DETAILED TASK BREAKDOWN'!$E$5:$E$54,MATCH(2,'DETAILED TASK BREAKDOWN'!$U$5:$U$54,0)),"")</x:f>
        <x:v>Chốt OQ-002, OQ-003 cho tài liệu</x:v>
      </x:c>
      <x:c r="C56" s="30" t="str">
        <x:f>IFERROR(INDEX('DETAILED TASK BREAKDOWN'!$J$5:$J$54,MATCH(2,'DETAILED TASK BREAKDOWN'!$U$5:$U$54,0)),"")</x:f>
        <x:v>Not Started</x:v>
      </x:c>
      <x:c r="D56" s="30"/>
      <x:c r="E56" s="30"/>
      <x:c r="F56" s="30"/>
      <x:c r="G56" s="30"/>
      <x:c r="H56" s="30"/>
      <x:c r="I56" s="30"/>
      <x:c r="J56" s="30"/>
      <x:c r="K56" s="30"/>
      <x:c r="L56" s="30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30" t="str">
        <x:f>IFERROR(INDEX('DETAILED TASK BREAKDOWN'!$A$5:$A$54,MATCH(3,'DETAILED TASK BREAKDOWN'!$U$5:$U$54,0)),"")</x:f>
        <x:v>TASK-003</x:v>
      </x:c>
      <x:c r="B57" s="30" t="str">
        <x:f>IFERROR(INDEX('DETAILED TASK BREAKDOWN'!$E$5:$E$54,MATCH(3,'DETAILED TASK BREAKDOWN'!$U$5:$U$54,0)),"")</x:f>
        <x:v>Chốt OQ-004, OQ-005 cho bảo vệ</x:v>
      </x:c>
      <x:c r="C57" s="30" t="str">
        <x:f>IFERROR(INDEX('DETAILED TASK BREAKDOWN'!$J$5:$J$54,MATCH(3,'DETAILED TASK BREAKDOWN'!$U$5:$U$54,0)),"")</x:f>
        <x:v>Not Started</x:v>
      </x:c>
      <x:c r="D57" s="30"/>
      <x:c r="E57" s="30"/>
      <x:c r="F57" s="30"/>
      <x:c r="G57" s="30"/>
      <x:c r="H57" s="30"/>
      <x:c r="I57" s="30"/>
      <x:c r="J57" s="30"/>
      <x:c r="K57" s="30"/>
      <x:c r="L57" s="30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30" t="str">
        <x:f>IFERROR(INDEX('DETAILED TASK BREAKDOWN'!$A$5:$A$54,MATCH(4,'DETAILED TASK BREAKDOWN'!$U$5:$U$54,0)),"")</x:f>
        <x:v>TASK-004</x:v>
      </x:c>
      <x:c r="B58" s="30" t="str">
        <x:f>IFERROR(INDEX('DETAILED TASK BREAKDOWN'!$E$5:$E$54,MATCH(4,'DETAILED TASK BREAKDOWN'!$U$5:$U$54,0)),"")</x:f>
        <x:v>Chốt OQ-006, OQ-007 về vận hành</x:v>
      </x:c>
      <x:c r="C58" s="30" t="str">
        <x:f>IFERROR(INDEX('DETAILED TASK BREAKDOWN'!$J$5:$J$54,MATCH(4,'DETAILED TASK BREAKDOWN'!$U$5:$U$54,0)),"")</x:f>
        <x:v>Not Started</x:v>
      </x:c>
      <x:c r="D58" s="30"/>
      <x:c r="E58" s="30"/>
      <x:c r="F58" s="30"/>
      <x:c r="G58" s="30"/>
      <x:c r="H58" s="30"/>
      <x:c r="I58" s="30"/>
      <x:c r="J58" s="30"/>
      <x:c r="K58" s="30"/>
      <x:c r="L58" s="30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30" t="str">
        <x:f>IFERROR(INDEX('DETAILED TASK BREAKDOWN'!$A$5:$A$54,MATCH(5,'DETAILED TASK BREAKDOWN'!$U$5:$U$54,0)),"")</x:f>
        <x:v>TASK-005</x:v>
      </x:c>
      <x:c r="B59" s="30" t="str">
        <x:f>IFERROR(INDEX('DETAILED TASK BREAKDOWN'!$E$5:$E$54,MATCH(5,'DETAILED TASK BREAKDOWN'!$U$5:$U$54,0)),"")</x:f>
        <x:v>Lập hợp đồng API QLKLTN liên tầng</x:v>
      </x:c>
      <x:c r="C59" s="30" t="str">
        <x:f>IFERROR(INDEX('DETAILED TASK BREAKDOWN'!$J$5:$J$54,MATCH(5,'DETAILED TASK BREAKDOWN'!$U$5:$U$54,0)),"")</x:f>
        <x:v>Not Started</x:v>
      </x:c>
      <x:c r="D59" s="30"/>
      <x:c r="E59" s="30"/>
      <x:c r="F59" s="30"/>
      <x:c r="G59" s="30"/>
      <x:c r="H59" s="30"/>
      <x:c r="I59" s="30"/>
      <x:c r="J59" s="30"/>
      <x:c r="K59" s="30"/>
      <x:c r="L59" s="30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30" t="str">
        <x:f>IFERROR(INDEX('DETAILED TASK BREAKDOWN'!$A$5:$A$54,MATCH(6,'DETAILED TASK BREAKDOWN'!$U$5:$U$54,0)),"")</x:f>
        <x:v>TASK-006</x:v>
      </x:c>
      <x:c r="B60" s="30" t="str">
        <x:f>IFERROR(INDEX('DETAILED TASK BREAKDOWN'!$E$5:$E$54,MATCH(6,'DETAILED TASK BREAKDOWN'!$U$5:$U$54,0)),"")</x:f>
        <x:v>Xác minh đăng nhập và OTP hiện có</x:v>
      </x:c>
      <x:c r="C60" s="30" t="str">
        <x:f>IFERROR(INDEX('DETAILED TASK BREAKDOWN'!$J$5:$J$54,MATCH(6,'DETAILED TASK BREAKDOWN'!$U$5:$U$54,0)),"")</x:f>
        <x:v>Not Started</x:v>
      </x:c>
      <x:c r="D60" s="30"/>
      <x:c r="E60" s="30"/>
      <x:c r="F60" s="30"/>
      <x:c r="G60" s="30"/>
      <x:c r="H60" s="30"/>
      <x:c r="I60" s="30"/>
      <x:c r="J60" s="30"/>
      <x:c r="K60" s="30"/>
      <x:c r="L60" s="30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38" t="str">
        <x:f>IFERROR(INDEX('DETAILED TASK BREAKDOWN'!$A$5:$A$54,MATCH(7,'DETAILED TASK BREAKDOWN'!$U$5:$U$54,0)),"")</x:f>
        <x:v>TASK-007</x:v>
      </x:c>
      <x:c r="B61" s="38" t="str">
        <x:f>IFERROR(INDEX('DETAILED TASK BREAKDOWN'!$E$5:$E$54,MATCH(7,'DETAILED TASK BREAKDOWN'!$U$5:$U$54,0)),"")</x:f>
        <x:v>API hồ sơ và dữ liệu tài khoản</x:v>
      </x:c>
      <x:c r="C61" s="38" t="str">
        <x:f>IFERROR(INDEX('DETAILED TASK BREAKDOWN'!$J$5:$J$54,MATCH(7,'DETAILED TASK BREAKDOWN'!$U$5:$U$54,0)),"")</x:f>
        <x:v>Not Started</x:v>
      </x:c>
      <x:c r="D61" s="38"/>
      <x:c r="E61" s="38"/>
      <x:c r="F61" s="38"/>
      <x:c r="G61" s="38"/>
      <x:c r="H61" s="38"/>
      <x:c r="I61" s="38"/>
      <x:c r="J61" s="38"/>
      <x:c r="K61" s="38"/>
      <x:c r="L61" s="38"/>
    </x:row>
    <x:row r="62">
      <x:c r="A62" s="38" t="str">
        <x:f>IFERROR(INDEX('DETAILED TASK BREAKDOWN'!$A$5:$A$54,MATCH(8,'DETAILED TASK BREAKDOWN'!$U$5:$U$54,0)),"")</x:f>
        <x:v>TASK-008</x:v>
      </x:c>
      <x:c r="B62" s="38" t="str">
        <x:f>IFERROR(INDEX('DETAILED TASK BREAKDOWN'!$E$5:$E$54,MATCH(8,'DETAILED TASK BREAKDOWN'!$U$5:$U$54,0)),"")</x:f>
        <x:v>Đổi mật khẩu thường</x:v>
      </x:c>
      <x:c r="C62" s="38" t="str">
        <x:f>IFERROR(INDEX('DETAILED TASK BREAKDOWN'!$J$5:$J$54,MATCH(8,'DETAILED TASK BREAKDOWN'!$U$5:$U$54,0)),"")</x:f>
        <x:v>Not Started</x:v>
      </x:c>
      <x:c r="D62" s="38"/>
      <x:c r="E62" s="38"/>
      <x:c r="F62" s="38"/>
      <x:c r="G62" s="38"/>
      <x:c r="H62" s="38"/>
      <x:c r="I62" s="38"/>
      <x:c r="J62" s="38"/>
      <x:c r="K62" s="38"/>
      <x:c r="L62" s="38"/>
    </x:row>
    <x:row r="63">
      <x:c r="A63" s="38" t="str">
        <x:f>IFERROR(INDEX('DETAILED TASK BREAKDOWN'!$A$5:$A$54,MATCH(9,'DETAILED TASK BREAKDOWN'!$U$5:$U$54,0)),"")</x:f>
        <x:v>TASK-009</x:v>
      </x:c>
      <x:c r="B63" s="38" t="str">
        <x:f>IFERROR(INDEX('DETAILED TASK BREAKDOWN'!$E$5:$E$54,MATCH(9,'DETAILED TASK BREAKDOWN'!$U$5:$U$54,0)),"")</x:f>
        <x:v>Quên mật khẩu qua liên kết</x:v>
      </x:c>
      <x:c r="C63" s="38" t="str">
        <x:f>IFERROR(INDEX('DETAILED TASK BREAKDOWN'!$J$5:$J$54,MATCH(9,'DETAILED TASK BREAKDOWN'!$U$5:$U$54,0)),"")</x:f>
        <x:v>Not Started</x:v>
      </x:c>
      <x:c r="D63" s="38"/>
      <x:c r="E63" s="38"/>
      <x:c r="F63" s="38"/>
      <x:c r="G63" s="38"/>
      <x:c r="H63" s="38"/>
      <x:c r="I63" s="38"/>
      <x:c r="J63" s="38"/>
      <x:c r="K63" s="38"/>
      <x:c r="L63" s="38"/>
    </x:row>
    <x:row r="64">
      <x:c r="A64" s="38" t="str">
        <x:f>IFERROR(INDEX('DETAILED TASK BREAKDOWN'!$A$5:$A$54,MATCH(10,'DETAILED TASK BREAKDOWN'!$U$5:$U$54,0)),"")</x:f>
        <x:v>TASK-011</x:v>
      </x:c>
      <x:c r="B64" s="38" t="str">
        <x:f>IFERROR(INDEX('DETAILED TASK BREAKDOWN'!$E$5:$E$54,MATCH(10,'DETAILED TASK BREAKDOWN'!$U$5:$U$54,0)),"")</x:f>
        <x:v>API danh sách và tạo người dùng</x:v>
      </x:c>
      <x:c r="C64" s="38" t="str">
        <x:f>IFERROR(INDEX('DETAILED TASK BREAKDOWN'!$J$5:$J$54,MATCH(10,'DETAILED TASK BREAKDOWN'!$U$5:$U$54,0)),"")</x:f>
        <x:v>Not Started</x:v>
      </x:c>
      <x:c r="D64" s="38"/>
      <x:c r="E64" s="38"/>
      <x:c r="F64" s="38"/>
      <x:c r="G64" s="38"/>
      <x:c r="H64" s="38"/>
      <x:c r="I64" s="38"/>
      <x:c r="J64" s="38"/>
      <x:c r="K64" s="38"/>
      <x:c r="L64" s="38"/>
    </x:row>
    <x:row r="65">
      <x:c r="A65" s="38" t="str">
        <x:f>IFERROR(INDEX('DETAILED TASK BREAKDOWN'!$A$5:$A$54,MATCH(11,'DETAILED TASK BREAKDOWN'!$U$5:$U$54,0)),"")</x:f>
        <x:v>TASK-012</x:v>
      </x:c>
      <x:c r="B65" s="38" t="str">
        <x:f>IFERROR(INDEX('DETAILED TASK BREAKDOWN'!$E$5:$E$54,MATCH(11,'DETAILED TASK BREAKDOWN'!$U$5:$U$54,0)),"")</x:f>
        <x:v>API sửa và đổi trạng thái tài khoản</x:v>
      </x:c>
      <x:c r="C65" s="38" t="str">
        <x:f>IFERROR(INDEX('DETAILED TASK BREAKDOWN'!$J$5:$J$54,MATCH(11,'DETAILED TASK BREAKDOWN'!$U$5:$U$54,0)),"")</x:f>
        <x:v>Not Started</x:v>
      </x:c>
      <x:c r="D65" s="38"/>
      <x:c r="E65" s="38"/>
      <x:c r="F65" s="38"/>
      <x:c r="G65" s="38"/>
      <x:c r="H65" s="38"/>
      <x:c r="I65" s="38"/>
      <x:c r="J65" s="38"/>
      <x:c r="K65" s="38"/>
      <x:c r="L65" s="38"/>
    </x:row>
    <x:row r="66">
      <x:c r="A66" s="38" t="str">
        <x:f>IFERROR(INDEX('DETAILED TASK BREAKDOWN'!$A$5:$A$54,MATCH(12,'DETAILED TASK BREAKDOWN'!$U$5:$U$54,0)),"")</x:f>
        <x:v>TASK-013</x:v>
      </x:c>
      <x:c r="B66" s="38" t="str">
        <x:f>IFERROR(INDEX('DETAILED TASK BREAKDOWN'!$E$5:$E$54,MATCH(12,'DETAILED TASK BREAKDOWN'!$U$5:$U$54,0)),"")</x:f>
        <x:v>Xóa có điều kiện và reset mật khẩu</x:v>
      </x:c>
      <x:c r="C66" s="38" t="str">
        <x:f>IFERROR(INDEX('DETAILED TASK BREAKDOWN'!$J$5:$J$54,MATCH(12,'DETAILED TASK BREAKDOWN'!$U$5:$U$54,0)),"")</x:f>
        <x:v>Not Started</x:v>
      </x:c>
      <x:c r="D66" s="38"/>
      <x:c r="E66" s="38"/>
      <x:c r="F66" s="38"/>
      <x:c r="G66" s="38"/>
      <x:c r="H66" s="38"/>
      <x:c r="I66" s="38"/>
      <x:c r="J66" s="38"/>
      <x:c r="K66" s="38"/>
      <x:c r="L66" s="38"/>
    </x:row>
    <x:row r="67">
      <x:c r="A67" s="38" t="str">
        <x:f>IFERROR(INDEX('DETAILED TASK BREAKDOWN'!$A$5:$A$54,MATCH(13,'DETAILED TASK BREAKDOWN'!$U$5:$U$54,0)),"")</x:f>
        <x:v>TASK-014</x:v>
      </x:c>
      <x:c r="B67" s="38" t="str">
        <x:f>IFERROR(INDEX('DETAILED TASK BREAKDOWN'!$E$5:$E$54,MATCH(13,'DETAILED TASK BREAKDOWN'!$U$5:$U$54,0)),"")</x:f>
        <x:v>Đồng bộ nhập CSV với danh sách thật</x:v>
      </x:c>
      <x:c r="C67" s="38" t="str">
        <x:f>IFERROR(INDEX('DETAILED TASK BREAKDOWN'!$J$5:$J$54,MATCH(13,'DETAILED TASK BREAKDOWN'!$U$5:$U$54,0)),"")</x:f>
        <x:v>Not Started</x:v>
      </x:c>
      <x:c r="D67" s="38"/>
      <x:c r="E67" s="38"/>
      <x:c r="F67" s="38"/>
      <x:c r="G67" s="38"/>
      <x:c r="H67" s="38"/>
      <x:c r="I67" s="38"/>
      <x:c r="J67" s="38"/>
      <x:c r="K67" s="38"/>
      <x:c r="L67" s="38"/>
    </x:row>
    <x:row r="68">
      <x:c r="A68" s="38" t="str">
        <x:f>IFERROR(INDEX('DETAILED TASK BREAKDOWN'!$A$5:$A$54,MATCH(14,'DETAILED TASK BREAKDOWN'!$U$5:$U$54,0)),"")</x:f>
        <x:v>TASK-015</x:v>
      </x:c>
      <x:c r="B68" s="38" t="str">
        <x:f>IFERROR(INDEX('DETAILED TASK BREAKDOWN'!$E$5:$E$54,MATCH(14,'DETAILED TASK BREAKDOWN'!$U$5:$U$54,0)),"")</x:f>
        <x:v>Mô hình đợt, mốc và người tham gia</x:v>
      </x:c>
      <x:c r="C68" s="38" t="str">
        <x:f>IFERROR(INDEX('DETAILED TASK BREAKDOWN'!$J$5:$J$54,MATCH(14,'DETAILED TASK BREAKDOWN'!$U$5:$U$54,0)),"")</x:f>
        <x:v>Not Started</x:v>
      </x:c>
      <x:c r="D68" s="38"/>
      <x:c r="E68" s="38"/>
      <x:c r="F68" s="38"/>
      <x:c r="G68" s="38"/>
      <x:c r="H68" s="38"/>
      <x:c r="I68" s="38"/>
      <x:c r="J68" s="38"/>
      <x:c r="K68" s="38"/>
      <x:c r="L68" s="38"/>
    </x:row>
    <x:row r="69">
      <x:c r="A69" s="38" t="str">
        <x:f>IFERROR(INDEX('DETAILED TASK BREAKDOWN'!$A$5:$A$54,MATCH(15,'DETAILED TASK BREAKDOWN'!$U$5:$U$54,0)),"")</x:f>
        <x:v>TASK-016</x:v>
      </x:c>
      <x:c r="B69" s="38" t="str">
        <x:f>IFERROR(INDEX('DETAILED TASK BREAKDOWN'!$E$5:$E$54,MATCH(15,'DETAILED TASK BREAKDOWN'!$U$5:$U$54,0)),"")</x:f>
        <x:v>API tạo, xem và vòng đời đợt</x:v>
      </x:c>
      <x:c r="C69" s="38" t="str">
        <x:f>IFERROR(INDEX('DETAILED TASK BREAKDOWN'!$J$5:$J$54,MATCH(15,'DETAILED TASK BREAKDOWN'!$U$5:$U$54,0)),"")</x:f>
        <x:v>Not Started</x:v>
      </x:c>
      <x:c r="D69" s="38"/>
      <x:c r="E69" s="38"/>
      <x:c r="F69" s="38"/>
      <x:c r="G69" s="38"/>
      <x:c r="H69" s="38"/>
      <x:c r="I69" s="38"/>
      <x:c r="J69" s="38"/>
      <x:c r="K69" s="38"/>
      <x:c r="L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</x:row>
    <x:row r="72">
      <x:c r="A72" s="39" t="str">
        <x:v>Dữ liệu gốc: 27/10/2026. Tiến độ tính trên task còn lại; test có sẵn chưa được chạy trong lần lập kế hoạch này.</x:v>
      </x:c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</x:row>
    <x:row r="73">
      <x:c r="A73" s="39" t="str">
        <x:v>Ưu tiên triển khai: chốt OQ/hợp đồng → tài khoản/đợt → đề tài → tài liệu/phân công/hội đồng → điểm/kết quả → tích hợp và kiểm chứng.</x:v>
      </x:c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</x:row>
  </x:sheetData>
  <x:pageMargins left="0.7" right="0.7" top="0.75" bottom="0.75" header="0.3" footer="0.3"/>
  <x:drawing xmlns:r="http://schemas.openxmlformats.org/officeDocument/2006/relationships" r:id="Rda41835d946f465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54" hidden="0" customWidth="1"/>
    <x:col min="4" max="4" width="25" hidden="0" customWidth="1"/>
    <x:col min="5" max="5" width="20" hidden="0" customWidth="1"/>
    <x:col min="6" max="6" width="16" hidden="0" customWidth="1"/>
    <x:col min="7" max="7" width="13" hidden="0" customWidth="1"/>
    <x:col min="8" max="8" width="16" hidden="0" customWidth="1"/>
    <x:col min="9" max="9" width="14" hidden="0" customWidth="1"/>
    <x:col min="10" max="10" width="13" hidden="0" customWidth="1"/>
    <x:col min="11" max="11" width="23" hidden="0" customWidth="1"/>
    <x:col min="12" max="12" width="20" hidden="0" customWidth="1"/>
    <x:col min="13" max="13" width="4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TỔNG QUAN MODULE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  <x:c r="O3" s="1"/>
      <x:c r="P3" s="1"/>
      <x:c r="Q3" s="1"/>
      <x:c r="R3" s="1"/>
      <x:c r="S3" s="1"/>
      <x:c r="T3" s="1"/>
      <x:c r="U3" s="1"/>
    </x:row>
    <x:row r="4" ht="32" customHeight="1">
      <x:c r="A4" s="8" t="str">
        <x:v>Module ID</x:v>
      </x:c>
      <x:c r="B4" s="8" t="str">
        <x:v>Module Name</x:v>
      </x:c>
      <x:c r="C4" s="8" t="str">
        <x:v>Module Description</x:v>
      </x:c>
      <x:c r="D4" s="8" t="str">
        <x:v>Current Implementation Status</x:v>
      </x:c>
      <x:c r="E4" s="8" t="str">
        <x:v>Module Owner</x:v>
      </x:c>
      <x:c r="F4" s="8" t="str">
        <x:v>Completion (%)</x:v>
      </x:c>
      <x:c r="G4" s="8" t="str">
        <x:v>Total Tasks</x:v>
      </x:c>
      <x:c r="H4" s="8" t="str">
        <x:v>Completed Tasks</x:v>
      </x:c>
      <x:c r="I4" s="8" t="str">
        <x:v>Priority</x:v>
      </x:c>
      <x:c r="J4" s="8" t="str">
        <x:v>Complexity</x:v>
      </x:c>
      <x:c r="K4" s="8" t="str">
        <x:v>Dependencies</x:v>
      </x:c>
      <x:c r="L4" s="8" t="str">
        <x:v>Estimated Effort (days)</x:v>
      </x:c>
      <x:c r="M4" s="8" t="str">
        <x:v>Notes</x:v>
      </x:c>
      <x:c r="N4" s="1"/>
      <x:c r="O4" s="1"/>
      <x:c r="P4" s="1"/>
      <x:c r="Q4" s="1"/>
      <x:c r="R4" s="1"/>
      <x:c r="S4" s="1"/>
      <x:c r="T4" s="1"/>
      <x:c r="U4" s="1"/>
    </x:row>
    <x:row r="5" ht="58" customHeight="1">
      <x:c r="A5" s="1" t="str">
        <x:v>MOD-001</x:v>
      </x:c>
      <x:c r="B5" s="19" t="str">
        <x:v>Quyết định nghiệp vụ và hợp đồng</x:v>
      </x:c>
      <x:c r="C5" s="19" t="str">
        <x:v>Chốt câu hỏi mở và hợp đồng giữa các tầng trước khi hiện thực luồng QLKLTN.</x:v>
      </x:c>
      <x:c r="D5" s="19" t="str">
        <x:v>Partially Implemented</x:v>
      </x:c>
      <x:c r="E5" s="15" t="str">
        <x:v>Chưa phân công</x:v>
      </x:c>
      <x:c r="F5" s="9" t="n">
        <x:f>IF(G5=0,"",IF(COUNTIFS('DETAILED TASK BREAKDOWN'!$B$5:$B$1000,A5,'DETAILED TASK BREAKDOWN'!$K$5:$K$1000,"&gt;=0")&lt;G5,"",SUMPRODUCT(('DETAILED TASK BREAKDOWN'!$B$5:$B$1000=A5)*'DETAILED TASK BREAKDOWN'!$K$5:$K$1000*'DETAILED TASK BREAKDOWN'!$M$5:$M$1000)/L5))</x:f>
        <x:v>0</x:v>
      </x:c>
      <x:c r="G5" s="1" t="n">
        <x:f>COUNTIFS('DETAILED TASK BREAKDOWN'!$B$5:$B$1000,A5,'DETAILED TASK BREAKDOWN'!$A$5:$A$1000,"&lt;&gt;")</x:f>
        <x:v>5</x:v>
      </x:c>
      <x:c r="H5" s="1" t="n">
        <x:f>COUNTIFS('DETAILED TASK BREAKDOWN'!$B$5:$B$1000,A5,'DETAILED TASK BREAKDOWN'!$J$5:$J$1000,"Done")</x:f>
        <x:v>0</x:v>
      </x:c>
      <x:c r="I5" s="1" t="str">
        <x:v>Critical</x:v>
      </x:c>
      <x:c r="J5" s="1" t="str">
        <x:v>M</x:v>
      </x:c>
      <x:c r="K5" s="1" t="str"/>
      <x:c r="L5" s="1" t="n">
        <x:f>SUMIFS('DETAILED TASK BREAKDOWN'!$M$5:$M$1000,'DETAILED TASK BREAKDOWN'!$B$5:$B$1000,A5)</x:f>
        <x:v>8</x:v>
      </x:c>
      <x:c r="M5" s="19" t="str">
        <x:v>docs/OPEN_QUESTIONS.md; docs/decisions/; docs/requirements/</x:v>
      </x:c>
      <x:c r="N5" s="1"/>
      <x:c r="O5" s="1"/>
      <x:c r="P5" s="1"/>
      <x:c r="Q5" s="1"/>
      <x:c r="R5" s="1"/>
      <x:c r="S5" s="1"/>
      <x:c r="T5" s="1"/>
      <x:c r="U5" s="1"/>
    </x:row>
    <x:row r="6" ht="58" customHeight="1">
      <x:c r="A6" s="1" t="str">
        <x:v>MOD-002</x:v>
      </x:c>
      <x:c r="B6" s="19" t="str">
        <x:v>Xác thực và hồ sơ</x:v>
      </x:c>
      <x:c r="C6" s="19" t="str">
        <x:v>Duy trì phiên đăng nhập, OTP, hồ sơ cá nhân, đổi và khôi phục mật khẩu.</x:v>
      </x:c>
      <x:c r="D6" s="19" t="str">
        <x:v>Partially Implemented</x:v>
      </x:c>
      <x:c r="E6" s="15" t="str">
        <x:v>Chưa phân công</x:v>
      </x:c>
      <x:c r="F6" s="9" t="n">
        <x:f>IF(G6=0,"",IF(COUNTIFS('DETAILED TASK BREAKDOWN'!$B$5:$B$1000,A6,'DETAILED TASK BREAKDOWN'!$K$5:$K$1000,"&gt;=0")&lt;G6,"",SUMPRODUCT(('DETAILED TASK BREAKDOWN'!$B$5:$B$1000=A6)*'DETAILED TASK BREAKDOWN'!$K$5:$K$1000*'DETAILED TASK BREAKDOWN'!$M$5:$M$1000)/L6))</x:f>
        <x:v>0</x:v>
      </x:c>
      <x:c r="G6" s="1" t="n">
        <x:f>COUNTIFS('DETAILED TASK BREAKDOWN'!$B$5:$B$1000,A6,'DETAILED TASK BREAKDOWN'!$A$5:$A$1000,"&lt;&gt;")</x:f>
        <x:v>5</x:v>
      </x:c>
      <x:c r="H6" s="1" t="n">
        <x:f>COUNTIFS('DETAILED TASK BREAKDOWN'!$B$5:$B$1000,A6,'DETAILED TASK BREAKDOWN'!$J$5:$J$1000,"Done")</x:f>
        <x:v>0</x:v>
      </x:c>
      <x:c r="I6" s="1" t="str">
        <x:v>High</x:v>
      </x:c>
      <x:c r="J6" s="1" t="str">
        <x:v>L</x:v>
      </x:c>
      <x:c r="K6" s="1" t="str">
        <x:v>MOD-001</x:v>
      </x:c>
      <x:c r="L6" s="1" t="n">
        <x:f>SUMIFS('DETAILED TASK BREAKDOWN'!$M$5:$M$1000,'DETAILED TASK BREAKDOWN'!$B$5:$B$1000,A6)</x:f>
        <x:v>9</x:v>
      </x:c>
      <x:c r="M6" s="19" t="str">
        <x:v>AuthController; profileService.ts; docs/decisions/PDR-002, PDR-003</x:v>
      </x:c>
      <x:c r="N6" s="1"/>
      <x:c r="O6" s="1"/>
      <x:c r="P6" s="1"/>
      <x:c r="Q6" s="1"/>
      <x:c r="R6" s="1"/>
      <x:c r="S6" s="1"/>
      <x:c r="T6" s="1"/>
      <x:c r="U6" s="1"/>
    </x:row>
    <x:row r="7" ht="58" customHeight="1">
      <x:c r="A7" s="1" t="str">
        <x:v>MOD-003</x:v>
      </x:c>
      <x:c r="B7" s="19" t="str">
        <x:v>Quản lý người dùng</x:v>
      </x:c>
      <x:c r="C7" s="19" t="str">
        <x:v>Giáo vụ quản lý vòng đời tài khoản và nhập CSV, gắn dữ liệu thật vào màn hình.</x:v>
      </x:c>
      <x:c r="D7" s="19" t="str">
        <x:v>Partially Implemented</x:v>
      </x:c>
      <x:c r="E7" s="15" t="str">
        <x:v>Chưa phân công</x:v>
      </x:c>
      <x:c r="F7" s="9" t="n">
        <x:f>IF(G7=0,"",IF(COUNTIFS('DETAILED TASK BREAKDOWN'!$B$5:$B$1000,A7,'DETAILED TASK BREAKDOWN'!$K$5:$K$1000,"&gt;=0")&lt;G7,"",SUMPRODUCT(('DETAILED TASK BREAKDOWN'!$B$5:$B$1000=A7)*'DETAILED TASK BREAKDOWN'!$K$5:$K$1000*'DETAILED TASK BREAKDOWN'!$M$5:$M$1000)/L7))</x:f>
        <x:v>0</x:v>
      </x:c>
      <x:c r="G7" s="1" t="n">
        <x:f>COUNTIFS('DETAILED TASK BREAKDOWN'!$B$5:$B$1000,A7,'DETAILED TASK BREAKDOWN'!$A$5:$A$1000,"&lt;&gt;")</x:f>
        <x:v>4</x:v>
      </x:c>
      <x:c r="H7" s="1" t="n">
        <x:f>COUNTIFS('DETAILED TASK BREAKDOWN'!$B$5:$B$1000,A7,'DETAILED TASK BREAKDOWN'!$J$5:$J$1000,"Done")</x:f>
        <x:v>0</x:v>
      </x:c>
      <x:c r="I7" s="1" t="str">
        <x:v>High</x:v>
      </x:c>
      <x:c r="J7" s="1" t="str">
        <x:v>L</x:v>
      </x:c>
      <x:c r="K7" s="1" t="str">
        <x:v>MOD-002</x:v>
      </x:c>
      <x:c r="L7" s="1" t="n">
        <x:f>SUMIFS('DETAILED TASK BREAKDOWN'!$M$5:$M$1000,'DETAILED TASK BREAKDOWN'!$B$5:$B$1000,A7)</x:f>
        <x:v>7</x:v>
      </x:c>
      <x:c r="M7" s="19" t="str">
        <x:v>UsersController; userService.ts; PDR-004</x:v>
      </x:c>
      <x:c r="N7" s="1"/>
      <x:c r="O7" s="1"/>
      <x:c r="P7" s="1"/>
      <x:c r="Q7" s="1"/>
      <x:c r="R7" s="1"/>
      <x:c r="S7" s="1"/>
      <x:c r="T7" s="1"/>
      <x:c r="U7" s="1"/>
    </x:row>
    <x:row r="8" ht="58" customHeight="1">
      <x:c r="A8" s="1" t="str">
        <x:v>MOD-004</x:v>
      </x:c>
      <x:c r="B8" s="19" t="str">
        <x:v>Đợt khóa luận</x:v>
      </x:c>
      <x:c r="C8" s="19" t="str">
        <x:v>Tạo, mở, kết thúc đợt; cấu hình mốc và quản lý người tham gia.</x:v>
      </x:c>
      <x:c r="D8" s="19" t="str">
        <x:v>Partially Implemented</x:v>
      </x:c>
      <x:c r="E8" s="15" t="str">
        <x:v>Chưa phân công</x:v>
      </x:c>
      <x:c r="F8" s="9" t="n">
        <x:f>IF(G8=0,"",IF(COUNTIFS('DETAILED TASK BREAKDOWN'!$B$5:$B$1000,A8,'DETAILED TASK BREAKDOWN'!$K$5:$K$1000,"&gt;=0")&lt;G8,"",SUMPRODUCT(('DETAILED TASK BREAKDOWN'!$B$5:$B$1000=A8)*'DETAILED TASK BREAKDOWN'!$K$5:$K$1000*'DETAILED TASK BREAKDOWN'!$M$5:$M$1000)/L8))</x:f>
        <x:v>0</x:v>
      </x:c>
      <x:c r="G8" s="1" t="n">
        <x:f>COUNTIFS('DETAILED TASK BREAKDOWN'!$B$5:$B$1000,A8,'DETAILED TASK BREAKDOWN'!$A$5:$A$1000,"&lt;&gt;")</x:f>
        <x:v>5</x:v>
      </x:c>
      <x:c r="H8" s="1" t="n">
        <x:f>COUNTIFS('DETAILED TASK BREAKDOWN'!$B$5:$B$1000,A8,'DETAILED TASK BREAKDOWN'!$J$5:$J$1000,"Done")</x:f>
        <x:v>0</x:v>
      </x:c>
      <x:c r="I8" s="1" t="str">
        <x:v>Critical</x:v>
      </x:c>
      <x:c r="J8" s="1" t="str">
        <x:v>XL</x:v>
      </x:c>
      <x:c r="K8" s="1" t="str">
        <x:v>MOD-003</x:v>
      </x:c>
      <x:c r="L8" s="1" t="n">
        <x:f>SUMIFS('DETAILED TASK BREAKDOWN'!$M$5:$M$1000,'DETAILED TASK BREAKDOWN'!$B$5:$B$1000,A8)</x:f>
        <x:v>9.5</x:v>
      </x:c>
      <x:c r="M8" s="19" t="str">
        <x:v>roundService.ts; RoundListPage.tsx; RoundDetailPage.tsx</x:v>
      </x:c>
      <x:c r="N8" s="1"/>
      <x:c r="O8" s="1"/>
      <x:c r="P8" s="1"/>
      <x:c r="Q8" s="1"/>
      <x:c r="R8" s="1"/>
      <x:c r="S8" s="1"/>
      <x:c r="T8" s="1"/>
      <x:c r="U8" s="1"/>
    </x:row>
    <x:row r="9" ht="58" customHeight="1">
      <x:c r="A9" s="1" t="str">
        <x:v>MOD-005</x:v>
      </x:c>
      <x:c r="B9" s="19" t="str">
        <x:v>Đề tài và đăng ký</x:v>
      </x:c>
      <x:c r="C9" s="19" t="str">
        <x:v>Công bố đề tài, nhóm 1–2 sinh viên, đăng ký hoặc đề xuất và xử lý lịch sử.</x:v>
      </x:c>
      <x:c r="D9" s="19" t="str">
        <x:v>Not Implemented</x:v>
      </x:c>
      <x:c r="E9" s="15" t="str">
        <x:v>Chưa phân công</x:v>
      </x:c>
      <x:c r="F9" s="9" t="n">
        <x:f>IF(G9=0,"",IF(COUNTIFS('DETAILED TASK BREAKDOWN'!$B$5:$B$1000,A9,'DETAILED TASK BREAKDOWN'!$K$5:$K$1000,"&gt;=0")&lt;G9,"",SUMPRODUCT(('DETAILED TASK BREAKDOWN'!$B$5:$B$1000=A9)*'DETAILED TASK BREAKDOWN'!$K$5:$K$1000*'DETAILED TASK BREAKDOWN'!$M$5:$M$1000)/L9))</x:f>
        <x:v>0</x:v>
      </x:c>
      <x:c r="G9" s="1" t="n">
        <x:f>COUNTIFS('DETAILED TASK BREAKDOWN'!$B$5:$B$1000,A9,'DETAILED TASK BREAKDOWN'!$A$5:$A$1000,"&lt;&gt;")</x:f>
        <x:v>5</x:v>
      </x:c>
      <x:c r="H9" s="1" t="n">
        <x:f>COUNTIFS('DETAILED TASK BREAKDOWN'!$B$5:$B$1000,A9,'DETAILED TASK BREAKDOWN'!$J$5:$J$1000,"Done")</x:f>
        <x:v>0</x:v>
      </x:c>
      <x:c r="I9" s="1" t="str">
        <x:v>Critical</x:v>
      </x:c>
      <x:c r="J9" s="1" t="str">
        <x:v>XL</x:v>
      </x:c>
      <x:c r="K9" s="1" t="str">
        <x:v>MOD-004</x:v>
      </x:c>
      <x:c r="L9" s="1" t="n">
        <x:f>SUMIFS('DETAILED TASK BREAKDOWN'!$M$5:$M$1000,'DETAILED TASK BREAKDOWN'!$B$5:$B$1000,A9)</x:f>
        <x:v>10</x:v>
      </x:c>
      <x:c r="M9" s="19" t="str">
        <x:v>docs/requirements/BUSINESS_RULES.md; docs/DESIGN/01-sitemap.md</x:v>
      </x:c>
      <x:c r="N9" s="1"/>
      <x:c r="O9" s="1"/>
      <x:c r="P9" s="1"/>
      <x:c r="Q9" s="1"/>
      <x:c r="R9" s="1"/>
      <x:c r="S9" s="1"/>
      <x:c r="T9" s="1"/>
      <x:c r="U9" s="1"/>
    </x:row>
    <x:row r="10" ht="58" customHeight="1">
      <x:c r="A10" s="1" t="str">
        <x:v>MOD-006</x:v>
      </x:c>
      <x:c r="B10" s="19" t="str">
        <x:v>Tài liệu và đề cương</x:v>
      </x:c>
      <x:c r="C10" s="19" t="str">
        <x:v>Quản lý phiên bản đề cương, nhận xét, bài khóa luận và bản cuối.</x:v>
      </x:c>
      <x:c r="D10" s="19" t="str">
        <x:v>Not Implemented</x:v>
      </x:c>
      <x:c r="E10" s="15" t="str">
        <x:v>Chưa phân công</x:v>
      </x:c>
      <x:c r="F10" s="9" t="n">
        <x:f>IF(G10=0,"",IF(COUNTIFS('DETAILED TASK BREAKDOWN'!$B$5:$B$1000,A10,'DETAILED TASK BREAKDOWN'!$K$5:$K$1000,"&gt;=0")&lt;G10,"",SUMPRODUCT(('DETAILED TASK BREAKDOWN'!$B$5:$B$1000=A10)*'DETAILED TASK BREAKDOWN'!$K$5:$K$1000*'DETAILED TASK BREAKDOWN'!$M$5:$M$1000)/L10))</x:f>
        <x:v>0</x:v>
      </x:c>
      <x:c r="G10" s="1" t="n">
        <x:f>COUNTIFS('DETAILED TASK BREAKDOWN'!$B$5:$B$1000,A10,'DETAILED TASK BREAKDOWN'!$A$5:$A$1000,"&lt;&gt;")</x:f>
        <x:v>4</x:v>
      </x:c>
      <x:c r="H10" s="1" t="n">
        <x:f>COUNTIFS('DETAILED TASK BREAKDOWN'!$B$5:$B$1000,A10,'DETAILED TASK BREAKDOWN'!$J$5:$J$1000,"Done")</x:f>
        <x:v>0</x:v>
      </x:c>
      <x:c r="I10" s="1" t="str">
        <x:v>High</x:v>
      </x:c>
      <x:c r="J10" s="1" t="str">
        <x:v>XL</x:v>
      </x:c>
      <x:c r="K10" s="1" t="str">
        <x:v>MOD-005</x:v>
      </x:c>
      <x:c r="L10" s="1" t="n">
        <x:f>SUMIFS('DETAILED TASK BREAKDOWN'!$M$5:$M$1000,'DETAILED TASK BREAKDOWN'!$B$5:$B$1000,A10)</x:f>
        <x:v>7.5</x:v>
      </x:c>
      <x:c r="M10" s="19" t="str">
        <x:v>docs/requirements/WORKFLOWS.md; OQ-002, OQ-003, OQ-006</x:v>
      </x:c>
      <x:c r="N10" s="1"/>
      <x:c r="O10" s="1"/>
      <x:c r="P10" s="1"/>
      <x:c r="Q10" s="1"/>
      <x:c r="R10" s="1"/>
      <x:c r="S10" s="1"/>
      <x:c r="T10" s="1"/>
      <x:c r="U10" s="1"/>
    </x:row>
    <x:row r="11" ht="58" customHeight="1">
      <x:c r="A11" s="1" t="str">
        <x:v>MOD-007</x:v>
      </x:c>
      <x:c r="B11" s="19" t="str">
        <x:v>Phân công phản biện</x:v>
      </x:c>
      <x:c r="C11" s="19" t="str">
        <x:v>Phân công phản biện theo đề tài, kiểm soát xung đột với người hướng dẫn.</x:v>
      </x:c>
      <x:c r="D11" s="19" t="str">
        <x:v>Not Implemented</x:v>
      </x:c>
      <x:c r="E11" s="15" t="str">
        <x:v>Chưa phân công</x:v>
      </x:c>
      <x:c r="F11" s="9" t="n">
        <x:f>IF(G11=0,"",IF(COUNTIFS('DETAILED TASK BREAKDOWN'!$B$5:$B$1000,A11,'DETAILED TASK BREAKDOWN'!$K$5:$K$1000,"&gt;=0")&lt;G11,"",SUMPRODUCT(('DETAILED TASK BREAKDOWN'!$B$5:$B$1000=A11)*'DETAILED TASK BREAKDOWN'!$K$5:$K$1000*'DETAILED TASK BREAKDOWN'!$M$5:$M$1000)/L11))</x:f>
        <x:v>0</x:v>
      </x:c>
      <x:c r="G11" s="1" t="n">
        <x:f>COUNTIFS('DETAILED TASK BREAKDOWN'!$B$5:$B$1000,A11,'DETAILED TASK BREAKDOWN'!$A$5:$A$1000,"&lt;&gt;")</x:f>
        <x:v>3</x:v>
      </x:c>
      <x:c r="H11" s="1" t="n">
        <x:f>COUNTIFS('DETAILED TASK BREAKDOWN'!$B$5:$B$1000,A11,'DETAILED TASK BREAKDOWN'!$J$5:$J$1000,"Done")</x:f>
        <x:v>0</x:v>
      </x:c>
      <x:c r="I11" s="1" t="str">
        <x:v>High</x:v>
      </x:c>
      <x:c r="J11" s="1" t="str">
        <x:v>L</x:v>
      </x:c>
      <x:c r="K11" s="1" t="str">
        <x:v>MOD-005</x:v>
      </x:c>
      <x:c r="L11" s="1" t="n">
        <x:f>SUMIFS('DETAILED TASK BREAKDOWN'!$M$5:$M$1000,'DETAILED TASK BREAKDOWN'!$B$5:$B$1000,A11)</x:f>
        <x:v>5.5</x:v>
      </x:c>
      <x:c r="M11" s="19" t="str">
        <x:v>docs/product/ROLES.md; docs/requirements/BUSINESS_RULES.md</x:v>
      </x:c>
      <x:c r="N11" s="1"/>
      <x:c r="O11" s="1"/>
      <x:c r="P11" s="1"/>
      <x:c r="Q11" s="1"/>
      <x:c r="R11" s="1"/>
      <x:c r="S11" s="1"/>
      <x:c r="T11" s="1"/>
      <x:c r="U11" s="1"/>
    </x:row>
    <x:row r="12" ht="58" customHeight="1">
      <x:c r="A12" s="1" t="str">
        <x:v>MOD-008</x:v>
      </x:c>
      <x:c r="B12" s="19" t="str">
        <x:v>Hội đồng và lịch bảo vệ</x:v>
      </x:c>
      <x:c r="C12" s="19" t="str">
        <x:v>Tạo hội đồng, gán đề tài, xếp lịch và công bố lịch bảo vệ.</x:v>
      </x:c>
      <x:c r="D12" s="19" t="str">
        <x:v>Not Implemented</x:v>
      </x:c>
      <x:c r="E12" s="15" t="str">
        <x:v>Chưa phân công</x:v>
      </x:c>
      <x:c r="F12" s="9" t="n">
        <x:f>IF(G12=0,"",IF(COUNTIFS('DETAILED TASK BREAKDOWN'!$B$5:$B$1000,A12,'DETAILED TASK BREAKDOWN'!$K$5:$K$1000,"&gt;=0")&lt;G12,"",SUMPRODUCT(('DETAILED TASK BREAKDOWN'!$B$5:$B$1000=A12)*'DETAILED TASK BREAKDOWN'!$K$5:$K$1000*'DETAILED TASK BREAKDOWN'!$M$5:$M$1000)/L12))</x:f>
        <x:v>0</x:v>
      </x:c>
      <x:c r="G12" s="1" t="n">
        <x:f>COUNTIFS('DETAILED TASK BREAKDOWN'!$B$5:$B$1000,A12,'DETAILED TASK BREAKDOWN'!$A$5:$A$1000,"&lt;&gt;")</x:f>
        <x:v>4</x:v>
      </x:c>
      <x:c r="H12" s="1" t="n">
        <x:f>COUNTIFS('DETAILED TASK BREAKDOWN'!$B$5:$B$1000,A12,'DETAILED TASK BREAKDOWN'!$J$5:$J$1000,"Done")</x:f>
        <x:v>0</x:v>
      </x:c>
      <x:c r="I12" s="1" t="str">
        <x:v>High</x:v>
      </x:c>
      <x:c r="J12" s="1" t="str">
        <x:v>XL</x:v>
      </x:c>
      <x:c r="K12" s="1" t="str">
        <x:v>MOD-005, MOD-007</x:v>
      </x:c>
      <x:c r="L12" s="1" t="n">
        <x:f>SUMIFS('DETAILED TASK BREAKDOWN'!$M$5:$M$1000,'DETAILED TASK BREAKDOWN'!$B$5:$B$1000,A12)</x:f>
        <x:v>8</x:v>
      </x:c>
      <x:c r="M12" s="19" t="str">
        <x:v>docs/product/ROLES.md; OQ-004, OQ-005</x:v>
      </x:c>
      <x:c r="N12" s="1"/>
      <x:c r="O12" s="1"/>
      <x:c r="P12" s="1"/>
      <x:c r="Q12" s="1"/>
      <x:c r="R12" s="1"/>
      <x:c r="S12" s="1"/>
      <x:c r="T12" s="1"/>
      <x:c r="U12" s="1"/>
    </x:row>
    <x:row r="13" ht="58" customHeight="1">
      <x:c r="A13" s="1" t="str">
        <x:v>MOD-009</x:v>
      </x:c>
      <x:c r="B13" s="19" t="str">
        <x:v>Phiếu đánh giá và điểm</x:v>
      </x:c>
      <x:c r="C13" s="19" t="str">
        <x:v>Quản lý mẫu phiếu, bốn thành phần điểm riêng từng sinh viên, cảnh báo lệch.</x:v>
      </x:c>
      <x:c r="D13" s="19" t="str">
        <x:v>Not Implemented</x:v>
      </x:c>
      <x:c r="E13" s="15" t="str">
        <x:v>Chưa phân công</x:v>
      </x:c>
      <x:c r="F13" s="9" t="n">
        <x:f>IF(G13=0,"",IF(COUNTIFS('DETAILED TASK BREAKDOWN'!$B$5:$B$1000,A13,'DETAILED TASK BREAKDOWN'!$K$5:$K$1000,"&gt;=0")&lt;G13,"",SUMPRODUCT(('DETAILED TASK BREAKDOWN'!$B$5:$B$1000=A13)*'DETAILED TASK BREAKDOWN'!$K$5:$K$1000*'DETAILED TASK BREAKDOWN'!$M$5:$M$1000)/L13))</x:f>
        <x:v>0</x:v>
      </x:c>
      <x:c r="G13" s="1" t="n">
        <x:f>COUNTIFS('DETAILED TASK BREAKDOWN'!$B$5:$B$1000,A13,'DETAILED TASK BREAKDOWN'!$A$5:$A$1000,"&lt;&gt;")</x:f>
        <x:v>4</x:v>
      </x:c>
      <x:c r="H13" s="1" t="n">
        <x:f>COUNTIFS('DETAILED TASK BREAKDOWN'!$B$5:$B$1000,A13,'DETAILED TASK BREAKDOWN'!$J$5:$J$1000,"Done")</x:f>
        <x:v>0</x:v>
      </x:c>
      <x:c r="I13" s="1" t="str">
        <x:v>Critical</x:v>
      </x:c>
      <x:c r="J13" s="1" t="str">
        <x:v>XL</x:v>
      </x:c>
      <x:c r="K13" s="1" t="str">
        <x:v>MOD-006, MOD-007, MOD-008</x:v>
      </x:c>
      <x:c r="L13" s="1" t="n">
        <x:f>SUMIFS('DETAILED TASK BREAKDOWN'!$M$5:$M$1000,'DETAILED TASK BREAKDOWN'!$B$5:$B$1000,A13)</x:f>
        <x:v>7.5</x:v>
      </x:c>
      <x:c r="M13" s="19" t="str">
        <x:v>docs/requirements/BUSINESS_RULES.md; docs/architecture/DOMAIN_MODEL.md</x:v>
      </x:c>
      <x:c r="N13" s="1"/>
      <x:c r="O13" s="1"/>
      <x:c r="P13" s="1"/>
      <x:c r="Q13" s="1"/>
      <x:c r="R13" s="1"/>
      <x:c r="S13" s="1"/>
      <x:c r="T13" s="1"/>
      <x:c r="U13" s="1"/>
    </x:row>
    <x:row r="14" ht="58" customHeight="1">
      <x:c r="A14" s="1" t="str">
        <x:v>MOD-010</x:v>
      </x:c>
      <x:c r="B14" s="19" t="str">
        <x:v>Kết quả và công bố</x:v>
      </x:c>
      <x:c r="C14" s="19" t="str">
        <x:v>Tính, xác nhận, khóa sửa, công bố kết quả và xuất bảng điểm.</x:v>
      </x:c>
      <x:c r="D14" s="19" t="str">
        <x:v>Not Implemented</x:v>
      </x:c>
      <x:c r="E14" s="15" t="str">
        <x:v>Chưa phân công</x:v>
      </x:c>
      <x:c r="F14" s="9" t="n">
        <x:f>IF(G14=0,"",IF(COUNTIFS('DETAILED TASK BREAKDOWN'!$B$5:$B$1000,A14,'DETAILED TASK BREAKDOWN'!$K$5:$K$1000,"&gt;=0")&lt;G14,"",SUMPRODUCT(('DETAILED TASK BREAKDOWN'!$B$5:$B$1000=A14)*'DETAILED TASK BREAKDOWN'!$K$5:$K$1000*'DETAILED TASK BREAKDOWN'!$M$5:$M$1000)/L14))</x:f>
        <x:v>0</x:v>
      </x:c>
      <x:c r="G14" s="1" t="n">
        <x:f>COUNTIFS('DETAILED TASK BREAKDOWN'!$B$5:$B$1000,A14,'DETAILED TASK BREAKDOWN'!$A$5:$A$1000,"&lt;&gt;")</x:f>
        <x:v>3</x:v>
      </x:c>
      <x:c r="H14" s="1" t="n">
        <x:f>COUNTIFS('DETAILED TASK BREAKDOWN'!$B$5:$B$1000,A14,'DETAILED TASK BREAKDOWN'!$J$5:$J$1000,"Done")</x:f>
        <x:v>0</x:v>
      </x:c>
      <x:c r="I14" s="1" t="str">
        <x:v>Critical</x:v>
      </x:c>
      <x:c r="J14" s="1" t="str">
        <x:v>L</x:v>
      </x:c>
      <x:c r="K14" s="1" t="str">
        <x:v>MOD-006, MOD-009</x:v>
      </x:c>
      <x:c r="L14" s="1" t="n">
        <x:f>SUMIFS('DETAILED TASK BREAKDOWN'!$M$5:$M$1000,'DETAILED TASK BREAKDOWN'!$B$5:$B$1000,A14)</x:f>
        <x:v>5.5</x:v>
      </x:c>
      <x:c r="M14" s="19" t="str">
        <x:v>docs/requirements/BUSINESS_RULES.md; OQ-002</x:v>
      </x:c>
      <x:c r="N14" s="1"/>
      <x:c r="O14" s="1"/>
      <x:c r="P14" s="1"/>
      <x:c r="Q14" s="1"/>
      <x:c r="R14" s="1"/>
      <x:c r="S14" s="1"/>
      <x:c r="T14" s="1"/>
      <x:c r="U14" s="1"/>
    </x:row>
    <x:row r="15" ht="58" customHeight="1">
      <x:c r="A15" s="1" t="str">
        <x:v>MOD-011</x:v>
      </x:c>
      <x:c r="B15" s="19" t="str">
        <x:v>Thông báo và lịch sử</x:v>
      </x:c>
      <x:c r="C15" s="19" t="str">
        <x:v>Gửi thông báo, chuông, trạng thái đọc và truy vết thao tác nghiệp vụ.</x:v>
      </x:c>
      <x:c r="D15" s="19" t="str">
        <x:v>Partially Implemented</x:v>
      </x:c>
      <x:c r="E15" s="15" t="str">
        <x:v>Chưa phân công</x:v>
      </x:c>
      <x:c r="F15" s="9" t="n">
        <x:f>IF(G15=0,"",IF(COUNTIFS('DETAILED TASK BREAKDOWN'!$B$5:$B$1000,A15,'DETAILED TASK BREAKDOWN'!$K$5:$K$1000,"&gt;=0")&lt;G15,"",SUMPRODUCT(('DETAILED TASK BREAKDOWN'!$B$5:$B$1000=A15)*'DETAILED TASK BREAKDOWN'!$K$5:$K$1000*'DETAILED TASK BREAKDOWN'!$M$5:$M$1000)/L15))</x:f>
        <x:v>0</x:v>
      </x:c>
      <x:c r="G15" s="1" t="n">
        <x:f>COUNTIFS('DETAILED TASK BREAKDOWN'!$B$5:$B$1000,A15,'DETAILED TASK BREAKDOWN'!$A$5:$A$1000,"&lt;&gt;")</x:f>
        <x:v>4</x:v>
      </x:c>
      <x:c r="H15" s="1" t="n">
        <x:f>COUNTIFS('DETAILED TASK BREAKDOWN'!$B$5:$B$1000,A15,'DETAILED TASK BREAKDOWN'!$J$5:$J$1000,"Done")</x:f>
        <x:v>0</x:v>
      </x:c>
      <x:c r="I15" s="1" t="str">
        <x:v>Medium</x:v>
      </x:c>
      <x:c r="J15" s="1" t="str">
        <x:v>L</x:v>
      </x:c>
      <x:c r="K15" s="1" t="str">
        <x:v>MOD-004, MOD-005</x:v>
      </x:c>
      <x:c r="L15" s="1" t="n">
        <x:f>SUMIFS('DETAILED TASK BREAKDOWN'!$M$5:$M$1000,'DETAILED TASK BREAKDOWN'!$B$5:$B$1000,A15)</x:f>
        <x:v>7</x:v>
      </x:c>
      <x:c r="M15" s="19" t="str">
        <x:v>NoticeBoard.tsx; roundService.ts; docs/FEATURE.md</x:v>
      </x:c>
      <x:c r="N15" s="1"/>
      <x:c r="O15" s="1"/>
      <x:c r="P15" s="1"/>
      <x:c r="Q15" s="1"/>
      <x:c r="R15" s="1"/>
      <x:c r="S15" s="1"/>
      <x:c r="T15" s="1"/>
      <x:c r="U15" s="1"/>
    </x:row>
    <x:row r="16" ht="58" customHeight="1">
      <x:c r="A16" s="1" t="str">
        <x:v>MOD-012</x:v>
      </x:c>
      <x:c r="B16" s="19" t="str">
        <x:v>Trang chủ, thống kê và kiểm chứng</x:v>
      </x:c>
      <x:c r="C16" s="19" t="str">
        <x:v>Trang chủ theo vai trò, thống kê; kiểm thử luồng tích hợp và triển khai có kiểm soát.</x:v>
      </x:c>
      <x:c r="D16" s="19" t="str">
        <x:v>Partially Implemented</x:v>
      </x:c>
      <x:c r="E16" s="15" t="str">
        <x:v>Chưa phân công</x:v>
      </x:c>
      <x:c r="F16" s="9" t="n">
        <x:f>IF(G16=0,"",IF(COUNTIFS('DETAILED TASK BREAKDOWN'!$B$5:$B$1000,A16,'DETAILED TASK BREAKDOWN'!$K$5:$K$1000,"&gt;=0")&lt;G16,"",SUMPRODUCT(('DETAILED TASK BREAKDOWN'!$B$5:$B$1000=A16)*'DETAILED TASK BREAKDOWN'!$K$5:$K$1000*'DETAILED TASK BREAKDOWN'!$M$5:$M$1000)/L16))</x:f>
        <x:v>0</x:v>
      </x:c>
      <x:c r="G16" s="1" t="n">
        <x:f>COUNTIFS('DETAILED TASK BREAKDOWN'!$B$5:$B$1000,A16,'DETAILED TASK BREAKDOWN'!$A$5:$A$1000,"&lt;&gt;")</x:f>
        <x:v>4</x:v>
      </x:c>
      <x:c r="H16" s="1" t="n">
        <x:f>COUNTIFS('DETAILED TASK BREAKDOWN'!$B$5:$B$1000,A16,'DETAILED TASK BREAKDOWN'!$J$5:$J$1000,"Done")</x:f>
        <x:v>0</x:v>
      </x:c>
      <x:c r="I16" s="1" t="str">
        <x:v>High</x:v>
      </x:c>
      <x:c r="J16" s="1" t="str">
        <x:v>XL</x:v>
      </x:c>
      <x:c r="K16" s="1" t="str">
        <x:v>MOD-004, MOD-010, MOD-011</x:v>
      </x:c>
      <x:c r="L16" s="1" t="n">
        <x:f>SUMIFS('DETAILED TASK BREAKDOWN'!$M$5:$M$1000,'DETAILED TASK BREAKDOWN'!$B$5:$B$1000,A16)</x:f>
        <x:v>8</x:v>
      </x:c>
      <x:c r="M16" s="19" t="str">
        <x:v>RoundHomePage.tsx; .github/workflows/ci.yml; tests/</x:v>
      </x:c>
      <x:c r="N16" s="1"/>
      <x:c r="O16" s="1"/>
      <x:c r="P16" s="1"/>
      <x:c r="Q16" s="1"/>
      <x:c r="R16" s="1"/>
      <x:c r="S16" s="1"/>
      <x:c r="T16" s="1"/>
      <x:c r="U16" s="1"/>
    </x:row>
    <x:row r="17">
      <x:c r="A17" s="1"/>
      <x:c r="B17" s="1"/>
      <x:c r="C17" s="1"/>
      <x:c r="D17" s="1"/>
      <x:c r="E17" s="15"/>
      <x:c r="F17" s="9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/>
      <x:c r="B18" s="1"/>
      <x:c r="C18" s="1"/>
      <x:c r="D18" s="1"/>
      <x:c r="E18" s="15"/>
      <x:c r="F18" s="9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"/>
      <x:c r="B19" s="26" t="str">
        <x:v>Tiến độ = trung bình có trọng số ngày công của các task kế hoạch. 0% không có nghĩa mã hiện có chưa triển khai.</x:v>
      </x:c>
      <x:c r="C19" s="1"/>
      <x:c r="D19" s="1"/>
      <x:c r="E19" s="15"/>
      <x:c r="F19" s="9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/>
      <x:c r="B20" s="1"/>
      <x:c r="C20" s="1"/>
      <x:c r="D20" s="1"/>
      <x:c r="E20" s="15"/>
      <x:c r="F20" s="9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/>
      <x:c r="B21" s="1"/>
      <x:c r="C21" s="1"/>
      <x:c r="D21" s="1"/>
      <x:c r="E21" s="15"/>
      <x:c r="F21" s="9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"/>
      <x:c r="B22" s="1"/>
      <x:c r="C22" s="1"/>
      <x:c r="D22" s="1"/>
      <x:c r="E22" s="15"/>
      <x:c r="F22" s="9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/>
      <x:c r="B23" s="1"/>
      <x:c r="C23" s="1"/>
      <x:c r="D23" s="1"/>
      <x:c r="E23" s="15"/>
      <x:c r="F23" s="9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/>
      <x:c r="B24" s="1"/>
      <x:c r="C24" s="1"/>
      <x:c r="D24" s="1"/>
      <x:c r="E24" s="15"/>
      <x:c r="F24" s="9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5"/>
      <x:c r="F25" s="9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/>
      <x:c r="B26" s="1"/>
      <x:c r="C26" s="1"/>
      <x:c r="D26" s="1"/>
      <x:c r="E26" s="15"/>
      <x:c r="F26" s="9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5"/>
      <x:c r="F27" s="9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/>
      <x:c r="B28" s="1"/>
      <x:c r="C28" s="1"/>
      <x:c r="D28" s="1"/>
      <x:c r="E28" s="15"/>
      <x:c r="F28" s="9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/>
      <x:c r="B29" s="1"/>
      <x:c r="C29" s="1"/>
      <x:c r="D29" s="1"/>
      <x:c r="E29" s="15"/>
      <x:c r="F29" s="9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5"/>
      <x:c r="F30" s="9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5"/>
      <x:c r="F31" s="9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5"/>
      <x:c r="F32" s="9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/>
      <x:c r="B33" s="1"/>
      <x:c r="C33" s="1"/>
      <x:c r="D33" s="1"/>
      <x:c r="E33" s="15"/>
      <x:c r="F33" s="9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5"/>
      <x:c r="F34" s="9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5"/>
      <x:c r="F35" s="9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/>
      <x:c r="B36" s="1"/>
      <x:c r="C36" s="1"/>
      <x:c r="D36" s="1"/>
      <x:c r="E36" s="15"/>
      <x:c r="F36" s="9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5"/>
      <x:c r="F37" s="9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5"/>
      <x:c r="F38" s="9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/>
      <x:c r="B39" s="1"/>
      <x:c r="C39" s="1"/>
      <x:c r="D39" s="1"/>
      <x:c r="E39" s="15"/>
      <x:c r="F39" s="9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/>
      <x:c r="B40" s="1"/>
      <x:c r="C40" s="1"/>
      <x:c r="D40" s="1"/>
      <x:c r="E40" s="15"/>
      <x:c r="F40" s="9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/>
      <x:c r="B41" s="1"/>
      <x:c r="C41" s="1"/>
      <x:c r="D41" s="1"/>
      <x:c r="E41" s="15"/>
      <x:c r="F41" s="9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/>
      <x:c r="B42" s="1"/>
      <x:c r="C42" s="1"/>
      <x:c r="D42" s="1"/>
      <x:c r="E42" s="15"/>
      <x:c r="F42" s="9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5"/>
      <x:c r="F43" s="9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5"/>
      <x:c r="F44" s="9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5"/>
      <x:c r="F45" s="9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5"/>
      <x:c r="F46" s="9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5"/>
      <x:c r="F47" s="9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5"/>
      <x:c r="F48" s="9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5"/>
      <x:c r="F49" s="9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5"/>
      <x:c r="F50" s="9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5"/>
      <x:c r="F51" s="9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5"/>
      <x:c r="F52" s="9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5"/>
      <x:c r="F53" s="9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5"/>
      <x:c r="F54" s="9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5"/>
      <x:c r="F55" s="9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5"/>
      <x:c r="F56" s="9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5"/>
      <x:c r="F57" s="9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5"/>
      <x:c r="F58" s="9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5"/>
      <x:c r="F59" s="9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5"/>
      <x:c r="F60" s="9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E61" s="16"/>
      <x:c r="F61" s="10"/>
    </x:row>
    <x:row r="62">
      <x:c r="E62" s="16"/>
      <x:c r="F62" s="10"/>
    </x:row>
    <x:row r="63">
      <x:c r="E63" s="16"/>
      <x:c r="F63" s="10"/>
    </x:row>
    <x:row r="64">
      <x:c r="E64" s="16"/>
      <x:c r="F64" s="10"/>
    </x:row>
    <x:row r="65">
      <x:c r="E65" s="16"/>
      <x:c r="F65" s="10"/>
    </x:row>
    <x:row r="66">
      <x:c r="E66" s="16"/>
      <x:c r="F66" s="10"/>
    </x:row>
    <x:row r="67">
      <x:c r="E67" s="16"/>
      <x:c r="F67" s="10"/>
    </x:row>
    <x:row r="68">
      <x:c r="E68" s="16"/>
      <x:c r="F68" s="10"/>
    </x:row>
    <x:row r="69">
      <x:c r="E69" s="16"/>
      <x:c r="F69" s="10"/>
    </x:row>
    <x:row r="70">
      <x:c r="E70" s="16"/>
      <x:c r="F70" s="10"/>
    </x:row>
    <x:row r="71">
      <x:c r="E71" s="16"/>
      <x:c r="F71" s="10"/>
    </x:row>
    <x:row r="72">
      <x:c r="E72" s="16"/>
      <x:c r="F72" s="10"/>
    </x:row>
    <x:row r="73">
      <x:c r="E73" s="16"/>
      <x:c r="F73" s="10"/>
    </x:row>
    <x:row r="74">
      <x:c r="E74" s="16"/>
      <x:c r="F74" s="10"/>
    </x:row>
    <x:row r="75">
      <x:c r="E75" s="16"/>
      <x:c r="F75" s="10"/>
    </x:row>
    <x:row r="76">
      <x:c r="E76" s="16"/>
      <x:c r="F76" s="10"/>
    </x:row>
    <x:row r="77">
      <x:c r="E77" s="16"/>
      <x:c r="F77" s="10"/>
    </x:row>
    <x:row r="78">
      <x:c r="E78" s="16"/>
      <x:c r="F78" s="10"/>
    </x:row>
    <x:row r="79">
      <x:c r="E79" s="16"/>
      <x:c r="F79" s="10"/>
    </x:row>
    <x:row r="80">
      <x:c r="E80" s="16"/>
      <x:c r="F80" s="10"/>
    </x:row>
    <x:row r="81">
      <x:c r="E81" s="16"/>
      <x:c r="F81" s="10"/>
    </x:row>
    <x:row r="82">
      <x:c r="E82" s="16"/>
      <x:c r="F82" s="10"/>
    </x:row>
    <x:row r="83">
      <x:c r="E83" s="16"/>
      <x:c r="F83" s="10"/>
    </x:row>
    <x:row r="84">
      <x:c r="E84" s="16"/>
      <x:c r="F84" s="10"/>
    </x:row>
    <x:row r="85">
      <x:c r="E85" s="16"/>
      <x:c r="F85" s="10"/>
    </x:row>
    <x:row r="86">
      <x:c r="E86" s="16"/>
      <x:c r="F86" s="10"/>
    </x:row>
    <x:row r="87">
      <x:c r="E87" s="16"/>
      <x:c r="F87" s="10"/>
    </x:row>
    <x:row r="88">
      <x:c r="E88" s="16"/>
      <x:c r="F88" s="10"/>
    </x:row>
    <x:row r="89">
      <x:c r="E89" s="16"/>
      <x:c r="F89" s="10"/>
    </x:row>
    <x:row r="90">
      <x:c r="E90" s="16"/>
      <x:c r="F90" s="10"/>
    </x:row>
    <x:row r="91">
      <x:c r="E91" s="16"/>
      <x:c r="F91" s="10"/>
    </x:row>
    <x:row r="92">
      <x:c r="E92" s="16"/>
      <x:c r="F92" s="10"/>
    </x:row>
    <x:row r="93">
      <x:c r="E93" s="16"/>
      <x:c r="F93" s="10"/>
    </x:row>
    <x:row r="94">
      <x:c r="E94" s="16"/>
      <x:c r="F94" s="10"/>
    </x:row>
    <x:row r="95">
      <x:c r="E95" s="16"/>
      <x:c r="F95" s="10"/>
    </x:row>
    <x:row r="96">
      <x:c r="E96" s="16"/>
      <x:c r="F96" s="10"/>
    </x:row>
    <x:row r="97">
      <x:c r="E97" s="16"/>
      <x:c r="F97" s="10"/>
    </x:row>
    <x:row r="98">
      <x:c r="E98" s="16"/>
      <x:c r="F98" s="10"/>
    </x:row>
    <x:row r="99">
      <x:c r="E99" s="16"/>
      <x:c r="F99" s="10"/>
    </x:row>
    <x:row r="100">
      <x:c r="E100" s="16"/>
      <x:c r="F100" s="10"/>
    </x:row>
  </x:sheetData>
  <x:conditionalFormatting sqref="F5:F100">
    <x:cfRule type="dataBar" priority="1">
      <x:dataBar>
        <x:cfvo type="min"/>
        <x:cfvo type="max"/>
        <x:color rgb="FF167D86"/>
      </x:dataBar>
      <x:extLst>
        <x:ext xmlns:x14="http://schemas.microsoft.com/office/spreadsheetml/2009/9/main" uri="{B025F937-C7B1-47D3-B67F-A62EFF666E3E}">
          <x14:id>55e4cc60-0e76-44d4-a65b-9a8cfbb523ae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727878fb0a149f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55e4cc60-0e76-44d4-a65b-9a8cfbb523ae">
            <x14:dataBar gradient="0">
              <x14:cfvo type="min"/>
              <x14:cfvo type="max"/>
              <x14:fillColor rgb="FF167D86"/>
            </x14:dataBar>
          </x14:cfRule>
          <xm:sqref>F5:F100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33" hidden="0" customWidth="1"/>
    <x:col min="5" max="5" width="31" hidden="0" customWidth="1"/>
    <x:col min="6" max="6" width="55" hidden="0" customWidth="1"/>
    <x:col min="7" max="7" width="51" hidden="0" customWidth="1"/>
    <x:col min="8" max="8" width="20" hidden="0" customWidth="1"/>
    <x:col min="9" max="9" width="18" hidden="0" customWidth="1"/>
    <x:col min="10" max="10" width="17" hidden="0" customWidth="1"/>
    <x:col min="11" max="11" width="15" hidden="0" customWidth="1"/>
    <x:col min="12" max="12" width="13" hidden="0" customWidth="1"/>
    <x:col min="13" max="13" width="17" hidden="0" customWidth="1"/>
    <x:col min="14" max="14" width="14" hidden="0" customWidth="1"/>
    <x:col min="15" max="15" width="14" hidden="0" customWidth="1"/>
    <x:col min="16" max="16" width="24" hidden="0" customWidth="1"/>
    <x:col min="17" max="17" width="50" hidden="0" customWidth="1"/>
    <x:col min="18" max="18" width="39" hidden="0" customWidth="1"/>
    <x:col min="19" max="19" width="50" hidden="0" customWidth="1"/>
    <x:col min="20" max="20" width="26" hidden="0" customWidth="1"/>
    <x:col min="21" max="21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KẾ HOẠCH CÔNG VIỆC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32" customHeight="1">
      <x:c r="A4" s="8" t="str">
        <x:v>Task ID</x:v>
      </x:c>
      <x:c r="B4" s="8" t="str">
        <x:v>Module ID</x:v>
      </x:c>
      <x:c r="C4" s="8" t="str">
        <x:v>Module Name</x:v>
      </x:c>
      <x:c r="D4" s="8" t="str">
        <x:v>Module Description</x:v>
      </x:c>
      <x:c r="E4" s="8" t="str">
        <x:v>Task Name</x:v>
      </x:c>
      <x:c r="F4" s="8" t="str">
        <x:v>Detailed Task Description</x:v>
      </x:c>
      <x:c r="G4" s="8" t="str">
        <x:v>Implementation Steps</x:v>
      </x:c>
      <x:c r="H4" s="8" t="str">
        <x:v>Assigned To</x:v>
      </x:c>
      <x:c r="I4" s="8" t="str">
        <x:v>Recommended Role</x:v>
      </x:c>
      <x:c r="J4" s="8" t="str">
        <x:v>Task Status</x:v>
      </x:c>
      <x:c r="K4" s="8" t="str">
        <x:v>Completion (%)</x:v>
      </x:c>
      <x:c r="L4" s="8" t="str">
        <x:v>Priority</x:v>
      </x:c>
      <x:c r="M4" s="8" t="str">
        <x:v>Estimated Effort (days)</x:v>
      </x:c>
      <x:c r="N4" s="8" t="str">
        <x:v>Start Date</x:v>
      </x:c>
      <x:c r="O4" s="8" t="str">
        <x:v>Due Date</x:v>
      </x:c>
      <x:c r="P4" s="8" t="str">
        <x:v>Dependencies (Task IDs)</x:v>
      </x:c>
      <x:c r="Q4" s="8" t="str">
        <x:v>Affected Files / Components</x:v>
      </x:c>
      <x:c r="R4" s="8" t="str">
        <x:v>Expected Deliverables</x:v>
      </x:c>
      <x:c r="S4" s="8" t="str">
        <x:v>Acceptance Criteria</x:v>
      </x:c>
      <x:c r="T4" s="8" t="str">
        <x:v>Notes / Blockers</x:v>
      </x:c>
      <x:c r="U4" s="8" t="str">
        <x:v>Priority Queue</x:v>
      </x:c>
    </x:row>
    <x:row r="5" ht="68" customHeight="1">
      <x:c r="A5" s="20" t="str">
        <x:v>TASK-001</x:v>
      </x:c>
      <x:c r="B5" s="20" t="str">
        <x:v>MOD-001</x:v>
      </x:c>
      <x:c r="C5" s="21" t="str">
        <x:v>Quyết định nghiệp vụ và hợp đồng</x:v>
      </x:c>
      <x:c r="D5" s="21" t="str">
        <x:v>Chốt câu hỏi mở và hợp đồng giữa các tầng trước khi hiện thực luồng QLKLTN.</x:v>
      </x:c>
      <x:c r="E5" s="21" t="str">
        <x:v>Chốt OQ-001 về hủy đề xuất</x:v>
      </x:c>
      <x:c r="F5" s="21" t="str">
        <x:v>Làm rõ trạng thái lưu, thời hạn hủy và thời điểm nhóm được đề xuất lại; ghi quyết định vào tài liệu.</x:v>
      </x:c>
      <x:c r="G5" s="21" t="str">
        <x:v>Đối chiếu luồng đăng ký; họp người quyết định nghiệp vụ; cập nhật quy tắc và ví dụ trạng thái.</x:v>
      </x:c>
      <x:c r="H5" s="22" t="str">
        <x:v>Chưa phân công</x:v>
      </x:c>
      <x:c r="I5" s="20" t="str">
        <x:v>Business/BA</x:v>
      </x:c>
      <x:c r="J5" s="20" t="str">
        <x:v>Not Started</x:v>
      </x:c>
      <x:c r="K5" s="23" t="n">
        <x:v>0</x:v>
      </x:c>
      <x:c r="L5" s="20" t="str">
        <x:v>Critical</x:v>
      </x:c>
      <x:c r="M5" s="24" t="n">
        <x:v>1</x:v>
      </x:c>
      <x:c r="N5" s="25"/>
      <x:c r="O5" s="25"/>
      <x:c r="P5" s="20" t="str"/>
      <x:c r="Q5" s="21" t="str">
        <x:v>docs/OPEN_QUESTIONS.md; docs/requirements/BUSINESS_RULES.md</x:v>
      </x:c>
      <x:c r="R5" s="21" t="str">
        <x:v>Quy tắc hủy đề xuất được phê duyệt</x:v>
      </x:c>
      <x:c r="S5" s="21" t="str">
        <x:v>Không còn nhánh hủy đề xuất mở; luồng và trạng thái nhất quán.</x:v>
      </x:c>
      <x:c r="T5" s="21" t="str"/>
      <x:c r="U5" s="20" t="n">
        <x:f>IF(AND(A5&lt;&gt;"",OR(L5="Critical",L5="High"),J5&lt;&gt;"Done"),COUNTIFS($L$5:L5,"Critical",$J$5:J5,"&lt;&gt;Done")+COUNTIFS($L$5:L5,"High",$J$5:J5,"&lt;&gt;Done"),"")</x:f>
        <x:v>1</x:v>
      </x:c>
    </x:row>
    <x:row r="6" ht="68" customHeight="1">
      <x:c r="A6" s="20" t="str">
        <x:v>TASK-002</x:v>
      </x:c>
      <x:c r="B6" s="20" t="str">
        <x:v>MOD-001</x:v>
      </x:c>
      <x:c r="C6" s="21" t="str">
        <x:v>Quyết định nghiệp vụ và hợp đồng</x:v>
      </x:c>
      <x:c r="D6" s="21" t="str">
        <x:v>Chốt câu hỏi mở và hợp đồng giữa các tầng trước khi hiện thực luồng QLKLTN.</x:v>
      </x:c>
      <x:c r="E6" s="21" t="str">
        <x:v>Chốt OQ-002, OQ-003 cho tài liệu</x:v>
      </x:c>
      <x:c r="F6" s="21" t="str">
        <x:v>Quyết định xử lý khi không có bản cuối và quyền/vòng đời yêu cầu chỉnh sửa đề cương.</x:v>
      </x:c>
      <x:c r="G6" s="21" t="str">
        <x:v>Đối chiếu WORKFLOWS và màn tài liệu; ghi tác nhân, điều kiện, trạng thái, ngoại lệ.</x:v>
      </x:c>
      <x:c r="H6" s="22" t="str">
        <x:v>Chưa phân công</x:v>
      </x:c>
      <x:c r="I6" s="20" t="str">
        <x:v>Business/BA</x:v>
      </x:c>
      <x:c r="J6" s="20" t="str">
        <x:v>Not Started</x:v>
      </x:c>
      <x:c r="K6" s="23" t="n">
        <x:v>0</x:v>
      </x:c>
      <x:c r="L6" s="20" t="str">
        <x:v>Critical</x:v>
      </x:c>
      <x:c r="M6" s="24" t="n">
        <x:v>1.5</x:v>
      </x:c>
      <x:c r="N6" s="25"/>
      <x:c r="O6" s="25"/>
      <x:c r="P6" s="20" t="str"/>
      <x:c r="Q6" s="21" t="str">
        <x:v>docs/OPEN_QUESTIONS.md; docs/requirements/WORKFLOWS.md; docs/requirements/BUSINESS_RULES.md</x:v>
      </x:c>
      <x:c r="R6" s="21" t="str">
        <x:v>Hai quyết định nghiệp vụ đã ghi nhận</x:v>
      </x:c>
      <x:c r="S6" s="21" t="str">
        <x:v>Có tiêu chí xử lý quá hạn không có bản và yêu cầu chỉnh sửa được phê duyệt.</x:v>
      </x:c>
      <x:c r="T6" s="21" t="str"/>
      <x:c r="U6" s="20" t="n">
        <x:f>IF(AND(A6&lt;&gt;"",OR(L6="Critical",L6="High"),J6&lt;&gt;"Done"),COUNTIFS($L$5:L6,"Critical",$J$5:J6,"&lt;&gt;Done")+COUNTIFS($L$5:L6,"High",$J$5:J6,"&lt;&gt;Done"),"")</x:f>
        <x:v>2</x:v>
      </x:c>
    </x:row>
    <x:row r="7" ht="68" customHeight="1">
      <x:c r="A7" s="20" t="str">
        <x:v>TASK-003</x:v>
      </x:c>
      <x:c r="B7" s="20" t="str">
        <x:v>MOD-001</x:v>
      </x:c>
      <x:c r="C7" s="21" t="str">
        <x:v>Quyết định nghiệp vụ và hợp đồng</x:v>
      </x:c>
      <x:c r="D7" s="21" t="str">
        <x:v>Chốt câu hỏi mở và hợp đồng giữa các tầng trước khi hiện thực luồng QLKLTN.</x:v>
      </x:c>
      <x:c r="E7" s="21" t="str">
        <x:v>Chốt OQ-004, OQ-005 cho bảo vệ</x:v>
      </x:c>
      <x:c r="F7" s="21" t="str">
        <x:v>Quy định trùng phòng, sửa/xóa lịch đã công bố và thay thành viên hội đồng sau khi có điểm.</x:v>
      </x:c>
      <x:c r="G7" s="21" t="str">
        <x:v>Lập ma trận tình huống trước/sau công bố và trước/sau chấm; chốt cách xử lý điểm và lịch sử.</x:v>
      </x:c>
      <x:c r="H7" s="22" t="str">
        <x:v>Chưa phân công</x:v>
      </x:c>
      <x:c r="I7" s="20" t="str">
        <x:v>Business/BA</x:v>
      </x:c>
      <x:c r="J7" s="20" t="str">
        <x:v>Not Started</x:v>
      </x:c>
      <x:c r="K7" s="23" t="n">
        <x:v>0</x:v>
      </x:c>
      <x:c r="L7" s="20" t="str">
        <x:v>Critical</x:v>
      </x:c>
      <x:c r="M7" s="24" t="n">
        <x:v>1.5</x:v>
      </x:c>
      <x:c r="N7" s="25"/>
      <x:c r="O7" s="25"/>
      <x:c r="P7" s="20" t="str"/>
      <x:c r="Q7" s="21" t="str">
        <x:v>docs/OPEN_QUESTIONS.md; docs/requirements/BUSINESS_RULES.md</x:v>
      </x:c>
      <x:c r="R7" s="21" t="str">
        <x:v>Quy tắc thay đổi lịch và hội đồng</x:v>
      </x:c>
      <x:c r="S7" s="21" t="str">
        <x:v>Mọi trường hợp sửa/xóa và xử lý điểm cũ có kết quả xác định.</x:v>
      </x:c>
      <x:c r="T7" s="21" t="str"/>
      <x:c r="U7" s="20" t="n">
        <x:f>IF(AND(A7&lt;&gt;"",OR(L7="Critical",L7="High"),J7&lt;&gt;"Done"),COUNTIFS($L$5:L7,"Critical",$J$5:J7,"&lt;&gt;Done")+COUNTIFS($L$5:L7,"High",$J$5:J7,"&lt;&gt;Done"),"")</x:f>
        <x:v>3</x:v>
      </x:c>
    </x:row>
    <x:row r="8" ht="68" customHeight="1">
      <x:c r="A8" s="20" t="str">
        <x:v>TASK-004</x:v>
      </x:c>
      <x:c r="B8" s="20" t="str">
        <x:v>MOD-001</x:v>
      </x:c>
      <x:c r="C8" s="21" t="str">
        <x:v>Quyết định nghiệp vụ và hợp đồng</x:v>
      </x:c>
      <x:c r="D8" s="21" t="str">
        <x:v>Chốt câu hỏi mở và hợp đồng giữa các tầng trước khi hiện thực luồng QLKLTN.</x:v>
      </x:c>
      <x:c r="E8" s="21" t="str">
        <x:v>Chốt OQ-006, OQ-007 về vận hành</x:v>
      </x:c>
      <x:c r="F8" s="21" t="str">
        <x:v>Chốt giới hạn upload, nộp trễ, lưu trữ và chỉ tiêu tải/khôi phục trước khi thiết kế hạ tầng.</x:v>
      </x:c>
      <x:c r="G8" s="21" t="str">
        <x:v>Thu thập yêu cầu từ Khoa; ghi số đo và chính sách; đối chiếu giải pháp lưu trữ.</x:v>
      </x:c>
      <x:c r="H8" s="22" t="str">
        <x:v>Chưa phân công</x:v>
      </x:c>
      <x:c r="I8" s="20" t="str">
        <x:v>Business/Architect</x:v>
      </x:c>
      <x:c r="J8" s="20" t="str">
        <x:v>Not Started</x:v>
      </x:c>
      <x:c r="K8" s="23" t="n">
        <x:v>0</x:v>
      </x:c>
      <x:c r="L8" s="20" t="str">
        <x:v>High</x:v>
      </x:c>
      <x:c r="M8" s="24" t="n">
        <x:v>2</x:v>
      </x:c>
      <x:c r="N8" s="25"/>
      <x:c r="O8" s="25"/>
      <x:c r="P8" s="20" t="str"/>
      <x:c r="Q8" s="21" t="str">
        <x:v>docs/OPEN_QUESTIONS.md; docs/requirements/NON_FUNCTIONAL.md</x:v>
      </x:c>
      <x:c r="R8" s="21" t="str">
        <x:v>Ràng buộc vận hành có số đo</x:v>
      </x:c>
      <x:c r="S8" s="21" t="str">
        <x:v>Giới hạn tệp, hạn trễ, thời gian lưu và tiêu chí tải/khôi phục rõ ràng.</x:v>
      </x:c>
      <x:c r="T8" s="21" t="str"/>
      <x:c r="U8" s="20" t="n">
        <x:f>IF(AND(A8&lt;&gt;"",OR(L8="Critical",L8="High"),J8&lt;&gt;"Done"),COUNTIFS($L$5:L8,"Critical",$J$5:J8,"&lt;&gt;Done")+COUNTIFS($L$5:L8,"High",$J$5:J8,"&lt;&gt;Done"),"")</x:f>
        <x:v>4</x:v>
      </x:c>
    </x:row>
    <x:row r="9" ht="68" customHeight="1">
      <x:c r="A9" s="20" t="str">
        <x:v>TASK-005</x:v>
      </x:c>
      <x:c r="B9" s="20" t="str">
        <x:v>MOD-001</x:v>
      </x:c>
      <x:c r="C9" s="21" t="str">
        <x:v>Quyết định nghiệp vụ và hợp đồng</x:v>
      </x:c>
      <x:c r="D9" s="21" t="str">
        <x:v>Chốt câu hỏi mở và hợp đồng giữa các tầng trước khi hiện thực luồng QLKLTN.</x:v>
      </x:c>
      <x:c r="E9" s="21" t="str">
        <x:v>Lập hợp đồng API QLKLTN liên tầng</x:v>
      </x:c>
      <x:c r="F9" s="21" t="str">
        <x:v>Đối chiếu frontend service/type với controller, DTO và ApiResponse; xác định route, quyền, payload, lỗi cho module mới.</x:v>
      </x:c>
      <x:c r="G9" s="21" t="str">
        <x:v>Lập bảng method/URL/body/response/status; duyệt với frontend và backend; ghi quyết định trước khi code.</x:v>
      </x:c>
      <x:c r="H9" s="22" t="str">
        <x:v>Chưa phân công</x:v>
      </x:c>
      <x:c r="I9" s="20" t="str">
        <x:v>Fullstack/Architect</x:v>
      </x:c>
      <x:c r="J9" s="20" t="str">
        <x:v>Not Started</x:v>
      </x:c>
      <x:c r="K9" s="23" t="n">
        <x:v>0</x:v>
      </x:c>
      <x:c r="L9" s="20" t="str">
        <x:v>Critical</x:v>
      </x:c>
      <x:c r="M9" s="24" t="n">
        <x:v>2</x:v>
      </x:c>
      <x:c r="N9" s="25"/>
      <x:c r="O9" s="25"/>
      <x:c r="P9" s="20" t="str">
        <x:v>TASK-001, TASK-002, TASK-003, TASK-004</x:v>
      </x:c>
      <x:c r="Q9" s="21" t="str">
        <x:v>app/frontend/src/api/request.ts; app/frontend/src/features/*/services/; app/frontend/src/types/; app/backend/src/Backend.API/Controllers/; app/backend/src/Backend.Application/; docs/decisions/</x:v>
      </x:c>
      <x:c r="R9" s="21" t="str">
        <x:v>Bảng hợp đồng API đã duyệt</x:v>
      </x:c>
      <x:c r="S9" s="21" t="str">
        <x:v>Mọi endpoint dự kiến có quyền, trường bắt buộc, lỗi và chủ sở hữu; không dùng route demo làm chuẩn.</x:v>
      </x:c>
      <x:c r="T9" s="21" t="str"/>
      <x:c r="U9" s="20" t="n">
        <x:f>IF(AND(A9&lt;&gt;"",OR(L9="Critical",L9="High"),J9&lt;&gt;"Done"),COUNTIFS($L$5:L9,"Critical",$J$5:J9,"&lt;&gt;Done")+COUNTIFS($L$5:L9,"High",$J$5:J9,"&lt;&gt;Done"),"")</x:f>
        <x:v>5</x:v>
      </x:c>
    </x:row>
    <x:row r="10" ht="68" customHeight="1">
      <x:c r="A10" s="20" t="str">
        <x:v>TASK-006</x:v>
      </x:c>
      <x:c r="B10" s="20" t="str">
        <x:v>MOD-002</x:v>
      </x:c>
      <x:c r="C10" s="21" t="str">
        <x:v>Xác thực và hồ sơ</x:v>
      </x:c>
      <x:c r="D10" s="21" t="str">
        <x:v>Duy trì phiên đăng nhập, OTP, hồ sơ cá nhân, đổi và khôi phục mật khẩu.</x:v>
      </x:c>
      <x:c r="E10" s="21" t="str">
        <x:v>Xác minh đăng nhập và OTP hiện có</x:v>
      </x:c>
      <x:c r="F10" s="21" t="str">
        <x:v>Kiểm chứng API login, me, activation-code, đổi mật khẩu đầu tiên, logout với ba vai trò và lỗi theo PDR-002/003.</x:v>
      </x:c>
      <x:c r="G10" s="21" t="str">
        <x:v>Chạy test liên quan trên môi trường local; thử 401/403, OTP hết hạn và đổi SecurityStamp; ghi bằng chứng.</x:v>
      </x:c>
      <x:c r="H10" s="22" t="str">
        <x:v>Chưa phân công</x:v>
      </x:c>
      <x:c r="I10" s="20" t="str">
        <x:v>QA/Fullstack</x:v>
      </x:c>
      <x:c r="J10" s="20" t="str">
        <x:v>Not Started</x:v>
      </x:c>
      <x:c r="K10" s="23" t="n">
        <x:v>0</x:v>
      </x:c>
      <x:c r="L10" s="20" t="str">
        <x:v>High</x:v>
      </x:c>
      <x:c r="M10" s="24" t="n">
        <x:v>1.5</x:v>
      </x:c>
      <x:c r="N10" s="25"/>
      <x:c r="O10" s="25"/>
      <x:c r="P10" s="20" t="str"/>
      <x:c r="Q10" s="21" t="str">
        <x:v>app/backend/tests/Backend.Tests/Features/Auth/; app/frontend/src/features/auth/; app/backend/src/Backend.API/Controllers/Auth/AuthController.cs</x:v>
      </x:c>
      <x:c r="R10" s="21" t="str">
        <x:v>Biên bản kiểm chứng luồng xác thực</x:v>
      </x:c>
      <x:c r="S10" s="21" t="str">
        <x:v>Test và request thực tế đạt trên local; lỗi còn lại có task riêng.</x:v>
      </x:c>
      <x:c r="T10" s="21" t="str"/>
      <x:c r="U10" s="20" t="n">
        <x:f>IF(AND(A10&lt;&gt;"",OR(L10="Critical",L10="High"),J10&lt;&gt;"Done"),COUNTIFS($L$5:L10,"Critical",$J$5:J10,"&lt;&gt;Done")+COUNTIFS($L$5:L10,"High",$J$5:J10,"&lt;&gt;Done"),"")</x:f>
        <x:v>6</x:v>
      </x:c>
    </x:row>
    <x:row r="11" ht="68" customHeight="1">
      <x:c r="A11" s="20" t="str">
        <x:v>TASK-007</x:v>
      </x:c>
      <x:c r="B11" s="20" t="str">
        <x:v>MOD-002</x:v>
      </x:c>
      <x:c r="C11" s="21" t="str">
        <x:v>Xác thực và hồ sơ</x:v>
      </x:c>
      <x:c r="D11" s="21" t="str">
        <x:v>Duy trì phiên đăng nhập, OTP, hồ sơ cá nhân, đổi và khôi phục mật khẩu.</x:v>
      </x:c>
      <x:c r="E11" s="21" t="str">
        <x:v>API hồ sơ và dữ liệu tài khoản</x:v>
      </x:c>
      <x:c r="F11" s="21" t="str">
        <x:v>Bổ sung đọc/sửa hồ sơ từ User, giới hạn trường tự sửa; nối với dữ liệu thật thay cho Map demo.</x:v>
      </x:c>
      <x:c r="G11" s="21" t="str">
        <x:v>Thiết kế DTO và validator; handler/repository; API có [Authorize]; tích hợp profileService.</x:v>
      </x:c>
      <x:c r="H11" s="22" t="str">
        <x:v>Chưa phân công</x:v>
      </x:c>
      <x:c r="I11" s="20" t="str">
        <x:v>Fullstack</x:v>
      </x:c>
      <x:c r="J11" s="20" t="str">
        <x:v>Not Started</x:v>
      </x:c>
      <x:c r="K11" s="23" t="n">
        <x:v>0</x:v>
      </x:c>
      <x:c r="L11" s="20" t="str">
        <x:v>High</x:v>
      </x:c>
      <x:c r="M11" s="24" t="n">
        <x:v>2</x:v>
      </x:c>
      <x:c r="N11" s="25"/>
      <x:c r="O11" s="25"/>
      <x:c r="P11" s="20" t="str">
        <x:v>TASK-005, TASK-006</x:v>
      </x:c>
      <x:c r="Q11" s="21" t="str">
        <x:v>app/backend/src/Backend.Domain/Entities/Users/User.cs; app/backend/src/Backend.Application/; app/backend/src/Backend.API/Controllers/ (đề xuất); app/frontend/src/features/profile/services/profileService.ts</x:v>
      </x:c>
      <x:c r="R11" s="21" t="str">
        <x:v>Hồ sơ tải/lưu bền vững</x:v>
      </x:c>
      <x:c r="S11" s="21" t="str">
        <x:v>Đúng người dùng, không sửa userCode/role; reload vẫn giữ dữ liệu; test backend và frontend.</x:v>
      </x:c>
      <x:c r="T11" s="21" t="str"/>
      <x:c r="U11" s="20" t="n">
        <x:f>IF(AND(A11&lt;&gt;"",OR(L11="Critical",L11="High"),J11&lt;&gt;"Done"),COUNTIFS($L$5:L11,"Critical",$J$5:J11,"&lt;&gt;Done")+COUNTIFS($L$5:L11,"High",$J$5:J11,"&lt;&gt;Done"),"")</x:f>
        <x:v>7</x:v>
      </x:c>
    </x:row>
    <x:row r="12" ht="68" customHeight="1">
      <x:c r="A12" s="20" t="str">
        <x:v>TASK-008</x:v>
      </x:c>
      <x:c r="B12" s="20" t="str">
        <x:v>MOD-002</x:v>
      </x:c>
      <x:c r="C12" s="21" t="str">
        <x:v>Xác thực và hồ sơ</x:v>
      </x:c>
      <x:c r="D12" s="21" t="str">
        <x:v>Duy trì phiên đăng nhập, OTP, hồ sơ cá nhân, đổi và khôi phục mật khẩu.</x:v>
      </x:c>
      <x:c r="E12" s="21" t="str">
        <x:v>Đổi mật khẩu thường</x:v>
      </x:c>
      <x:c r="F12" s="21" t="str">
        <x:v>Cung cấp đổi mật khẩu sau kích hoạt; kiểm tra mật khẩu cũ, quy tắc mới và thu hồi phiên cũ.</x:v>
      </x:c>
      <x:c r="G12" s="21" t="str">
        <x:v>Bổ sung command/API được chốt; nối ChangePasswordDialog; kiểm tra SecurityStamp.</x:v>
      </x:c>
      <x:c r="H12" s="22" t="str">
        <x:v>Chưa phân công</x:v>
      </x:c>
      <x:c r="I12" s="20" t="str">
        <x:v>Fullstack</x:v>
      </x:c>
      <x:c r="J12" s="20" t="str">
        <x:v>Not Started</x:v>
      </x:c>
      <x:c r="K12" s="23" t="n">
        <x:v>0</x:v>
      </x:c>
      <x:c r="L12" s="20" t="str">
        <x:v>High</x:v>
      </x:c>
      <x:c r="M12" s="24" t="n">
        <x:v>1.5</x:v>
      </x:c>
      <x:c r="N12" s="25"/>
      <x:c r="O12" s="25"/>
      <x:c r="P12" s="20" t="str">
        <x:v>TASK-005, TASK-006</x:v>
      </x:c>
      <x:c r="Q12" s="21" t="str">
        <x:v>app/backend/src/Backend.Application/Auth/; app/backend/src/Backend.API/Controllers/Auth/AuthController.cs; app/frontend/src/features/auth/components/ChangePasswordDialog.tsx</x:v>
      </x:c>
      <x:c r="R12" s="21" t="str">
        <x:v>Đổi mật khẩu thường hoạt động</x:v>
      </x:c>
      <x:c r="S12" s="21" t="str">
        <x:v>Mật khẩu sai trả lỗi; phiên cũ mất hiệu lực; phiên mới sử dụng được.</x:v>
      </x:c>
      <x:c r="T12" s="21" t="str"/>
      <x:c r="U12" s="20" t="n">
        <x:f>IF(AND(A12&lt;&gt;"",OR(L12="Critical",L12="High"),J12&lt;&gt;"Done"),COUNTIFS($L$5:L12,"Critical",$J$5:J12,"&lt;&gt;Done")+COUNTIFS($L$5:L12,"High",$J$5:J12,"&lt;&gt;Done"),"")</x:f>
        <x:v>8</x:v>
      </x:c>
    </x:row>
    <x:row r="13" ht="68" customHeight="1">
      <x:c r="A13" s="20" t="str">
        <x:v>TASK-009</x:v>
      </x:c>
      <x:c r="B13" s="20" t="str">
        <x:v>MOD-002</x:v>
      </x:c>
      <x:c r="C13" s="21" t="str">
        <x:v>Xác thực và hồ sơ</x:v>
      </x:c>
      <x:c r="D13" s="21" t="str">
        <x:v>Duy trì phiên đăng nhập, OTP, hồ sơ cá nhân, đổi và khôi phục mật khẩu.</x:v>
      </x:c>
      <x:c r="E13" s="21" t="str">
        <x:v>Quên mật khẩu qua liên kết</x:v>
      </x:c>
      <x:c r="F13" s="21" t="str">
        <x:v>Thiết kế và triển khai gửi liên kết 30 phút, đặt mật khẩu mới, ngăn dùng lại và tránh lộ tài khoản tồn tại.</x:v>
      </x:c>
      <x:c r="G13" s="21" t="str">
        <x:v>Chốt contract và template email; lưu token băm; API + trang quên mật khẩu; test hạn và dùng một lần.</x:v>
      </x:c>
      <x:c r="H13" s="22" t="str">
        <x:v>Chưa phân công</x:v>
      </x:c>
      <x:c r="I13" s="20" t="str">
        <x:v>Fullstack</x:v>
      </x:c>
      <x:c r="J13" s="20" t="str">
        <x:v>Not Started</x:v>
      </x:c>
      <x:c r="K13" s="23" t="n">
        <x:v>0</x:v>
      </x:c>
      <x:c r="L13" s="20" t="str">
        <x:v>High</x:v>
      </x:c>
      <x:c r="M13" s="24" t="n">
        <x:v>2</x:v>
      </x:c>
      <x:c r="N13" s="25"/>
      <x:c r="O13" s="25"/>
      <x:c r="P13" s="20" t="str">
        <x:v>TASK-005, TASK-006</x:v>
      </x:c>
      <x:c r="Q13" s="21" t="str">
        <x:v>app/frontend/app/(public)/quen-mat-khau/page.tsx; app/backend/src/Backend.Application/Auth/ (đề xuất); app/backend/src/Backend.Infrastructure/Integrations/Email/</x:v>
      </x:c>
      <x:c r="R13" s="21" t="str">
        <x:v>Luồng khôi phục mật khẩu</x:v>
      </x:c>
      <x:c r="S13" s="21" t="str">
        <x:v>Liên kết hết hạn/đã dùng bị từ chối; mật khẩu đổi được và token cũ bị thu hồi.</x:v>
      </x:c>
      <x:c r="T13" s="21" t="str"/>
      <x:c r="U13" s="20" t="n">
        <x:f>IF(AND(A13&lt;&gt;"",OR(L13="Critical",L13="High"),J13&lt;&gt;"Done"),COUNTIFS($L$5:L13,"Critical",$J$5:J13,"&lt;&gt;Done")+COUNTIFS($L$5:L13,"High",$J$5:J13,"&lt;&gt;Done"),"")</x:f>
        <x:v>9</x:v>
      </x:c>
    </x:row>
    <x:row r="14" ht="68" customHeight="1">
      <x:c r="A14" s="20" t="str">
        <x:v>TASK-010</x:v>
      </x:c>
      <x:c r="B14" s="20" t="str">
        <x:v>MOD-002</x:v>
      </x:c>
      <x:c r="C14" s="21" t="str">
        <x:v>Xác thực và hồ sơ</x:v>
      </x:c>
      <x:c r="D14" s="21" t="str">
        <x:v>Duy trì phiên đăng nhập, OTP, hồ sơ cá nhân, đổi và khôi phục mật khẩu.</x:v>
      </x:c>
      <x:c r="E14" s="21" t="str">
        <x:v>Ảnh đại diện hồ sơ</x:v>
      </x:c>
      <x:c r="F14" s="21" t="str">
        <x:v>Xử lý tải, thay và gỡ ảnh; kiểm tra nội dung tệp, mã hóa lại và ràng buộc dung lượng đã chốt.</x:v>
      </x:c>
      <x:c r="G14" s="21" t="str">
        <x:v>Chốt storage/key; API upload/delete có quyền; tích hợp ProfilePage; test tệp sai và ảnh người khác.</x:v>
      </x:c>
      <x:c r="H14" s="22" t="str">
        <x:v>Chưa phân công</x:v>
      </x:c>
      <x:c r="I14" s="20" t="str">
        <x:v>Fullstack</x:v>
      </x:c>
      <x:c r="J14" s="20" t="str">
        <x:v>Blocked</x:v>
      </x:c>
      <x:c r="K14" s="23" t="n">
        <x:v>0</x:v>
      </x:c>
      <x:c r="L14" s="20" t="str">
        <x:v>Medium</x:v>
      </x:c>
      <x:c r="M14" s="24" t="n">
        <x:v>2</x:v>
      </x:c>
      <x:c r="N14" s="25"/>
      <x:c r="O14" s="25"/>
      <x:c r="P14" s="20" t="str">
        <x:v>TASK-004, TASK-005, TASK-007</x:v>
      </x:c>
      <x:c r="Q14" s="21" t="str">
        <x:v>app/frontend/src/features/profile/components/ProfilePage.tsx; app/backend/src/Backend.Infrastructure/Integrations/Storage/; app/backend/src/Backend.API/Controllers/ (đề xuất)</x:v>
      </x:c>
      <x:c r="R14" s="21" t="str">
        <x:v>Ảnh lưu bền vững và an toàn</x:v>
      </x:c>
      <x:c r="S14" s="21" t="str">
        <x:v>Chỉ chủ sở hữu đổi ảnh; tệp giả/ngoài giới hạn bị chặn; reload vẫn thấy ảnh.</x:v>
      </x:c>
      <x:c r="T14" s="21" t="str">
        <x:v>Chờ chốt OQ-006</x:v>
      </x:c>
      <x:c r="U14" s="20" t="str">
        <x:f>IF(AND(A14&lt;&gt;"",OR(L14="Critical",L14="High"),J14&lt;&gt;"Done"),COUNTIFS($L$5:L14,"Critical",$J$5:J14,"&lt;&gt;Done")+COUNTIFS($L$5:L14,"High",$J$5:J14,"&lt;&gt;Done"),"")</x:f>
      </x:c>
    </x:row>
    <x:row r="15" ht="68" customHeight="1">
      <x:c r="A15" s="20" t="str">
        <x:v>TASK-011</x:v>
      </x:c>
      <x:c r="B15" s="20" t="str">
        <x:v>MOD-003</x:v>
      </x:c>
      <x:c r="C15" s="21" t="str">
        <x:v>Quản lý người dùng</x:v>
      </x:c>
      <x:c r="D15" s="21" t="str">
        <x:v>Giáo vụ quản lý vòng đời tài khoản và nhập CSV, gắn dữ liệu thật vào màn hình.</x:v>
      </x:c>
      <x:c r="E15" s="21" t="str">
        <x:v>API danh sách và tạo người dùng</x:v>
      </x:c>
      <x:c r="F15" s="21" t="str">
        <x:v>Giáo vụ đọc danh sách thật có lọc và tạo tài khoản với mã/email duy nhất, vai trò cố định.</x:v>
      </x:c>
      <x:c r="G15" s="21" t="str">
        <x:v>DTO, validation, repository, controller; đối chiếu UserFormDrawer; test 401/403/409.</x:v>
      </x:c>
      <x:c r="H15" s="22" t="str">
        <x:v>Chưa phân công</x:v>
      </x:c>
      <x:c r="I15" s="20" t="str">
        <x:v>Fullstack</x:v>
      </x:c>
      <x:c r="J15" s="20" t="str">
        <x:v>Not Started</x:v>
      </x:c>
      <x:c r="K15" s="23" t="n">
        <x:v>0</x:v>
      </x:c>
      <x:c r="L15" s="20" t="str">
        <x:v>High</x:v>
      </x:c>
      <x:c r="M15" s="24" t="n">
        <x:v>2</x:v>
      </x:c>
      <x:c r="N15" s="25"/>
      <x:c r="O15" s="25"/>
      <x:c r="P15" s="20" t="str">
        <x:v>TASK-005, TASK-006</x:v>
      </x:c>
      <x:c r="Q15" s="21" t="str">
        <x:v>app/backend/src/Backend.API/Controllers/Users/UsersController.cs; app/backend/src/Backend.Application/Users/; app/frontend/src/features/users/services/userService.ts</x:v>
      </x:c>
      <x:c r="R15" s="21" t="str">
        <x:v>Danh sách/tạo tài khoản thật</x:v>
      </x:c>
      <x:c r="S15" s="21" t="str">
        <x:v>Tạo xong xuất hiện sau tải lại; mã/email trùng trả lỗi; chỉ Giáo vụ truy cập.</x:v>
      </x:c>
      <x:c r="T15" s="21" t="str"/>
      <x:c r="U15" s="20" t="n">
        <x:f>IF(AND(A15&lt;&gt;"",OR(L15="Critical",L15="High"),J15&lt;&gt;"Done"),COUNTIFS($L$5:L15,"Critical",$J$5:J15,"&lt;&gt;Done")+COUNTIFS($L$5:L15,"High",$J$5:J15,"&lt;&gt;Done"),"")</x:f>
        <x:v>10</x:v>
      </x:c>
    </x:row>
    <x:row r="16" ht="68" customHeight="1">
      <x:c r="A16" s="20" t="str">
        <x:v>TASK-012</x:v>
      </x:c>
      <x:c r="B16" s="20" t="str">
        <x:v>MOD-003</x:v>
      </x:c>
      <x:c r="C16" s="21" t="str">
        <x:v>Quản lý người dùng</x:v>
      </x:c>
      <x:c r="D16" s="21" t="str">
        <x:v>Giáo vụ quản lý vòng đời tài khoản và nhập CSV, gắn dữ liệu thật vào màn hình.</x:v>
      </x:c>
      <x:c r="E16" s="21" t="str">
        <x:v>API sửa và đổi trạng thái tài khoản</x:v>
      </x:c>
      <x:c r="F16" s="21" t="str">
        <x:v>Cho sửa trường được phép và vô hiệu hóa/kích hoạt; mã, vai trò không đổi; phiên bị thu hồi khi vô hiệu hóa.</x:v>
      </x:c>
      <x:c r="G16" s="21" t="str">
        <x:v>Thêm handler và endpoint; nối form; test thay đổi email và SecurityStamp.</x:v>
      </x:c>
      <x:c r="H16" s="22" t="str">
        <x:v>Chưa phân công</x:v>
      </x:c>
      <x:c r="I16" s="20" t="str">
        <x:v>Fullstack</x:v>
      </x:c>
      <x:c r="J16" s="20" t="str">
        <x:v>Not Started</x:v>
      </x:c>
      <x:c r="K16" s="23" t="n">
        <x:v>0</x:v>
      </x:c>
      <x:c r="L16" s="20" t="str">
        <x:v>High</x:v>
      </x:c>
      <x:c r="M16" s="24" t="n">
        <x:v>1.5</x:v>
      </x:c>
      <x:c r="N16" s="25"/>
      <x:c r="O16" s="25"/>
      <x:c r="P16" s="20" t="str">
        <x:v>TASK-011</x:v>
      </x:c>
      <x:c r="Q16" s="21" t="str">
        <x:v>app/backend/src/Backend.Application/Users/ (đề xuất); app/backend/src/Backend.Infrastructure/Repositories/Users/UserRepository.cs; app/frontend/src/features/users/services/userService.ts</x:v>
      </x:c>
      <x:c r="R16" s="21" t="str">
        <x:v>Sửa/trạng thái lưu bền vững</x:v>
      </x:c>
      <x:c r="S16" s="21" t="str">
        <x:v>Không đổi mã/vai trò; tài khoản vô hiệu hóa không dùng phiên cũ; 401/403 đúng.</x:v>
      </x:c>
      <x:c r="T16" s="21" t="str"/>
      <x:c r="U16" s="20" t="n">
        <x:f>IF(AND(A16&lt;&gt;"",OR(L16="Critical",L16="High"),J16&lt;&gt;"Done"),COUNTIFS($L$5:L16,"Critical",$J$5:J16,"&lt;&gt;Done")+COUNTIFS($L$5:L16,"High",$J$5:J16,"&lt;&gt;Done"),"")</x:f>
        <x:v>11</x:v>
      </x:c>
    </x:row>
    <x:row r="17" ht="68" customHeight="1">
      <x:c r="A17" s="20" t="str">
        <x:v>TASK-013</x:v>
      </x:c>
      <x:c r="B17" s="20" t="str">
        <x:v>MOD-003</x:v>
      </x:c>
      <x:c r="C17" s="21" t="str">
        <x:v>Quản lý người dùng</x:v>
      </x:c>
      <x:c r="D17" s="21" t="str">
        <x:v>Giáo vụ quản lý vòng đời tài khoản và nhập CSV, gắn dữ liệu thật vào màn hình.</x:v>
      </x:c>
      <x:c r="E17" s="21" t="str">
        <x:v>Xóa có điều kiện và reset mật khẩu</x:v>
      </x:c>
      <x:c r="F17" s="21" t="str">
        <x:v>Xóa vật lý khi chưa có tham chiếu; nếu có dữ liệu thì vô hiệu hóa; không cho Giáo vụ tự xóa; reset bắt buộc kích hoạt lại.</x:v>
      </x:c>
      <x:c r="G17" s="21" t="str">
        <x:v>Kiểm tra tham chiếu nghiệp vụ; transaction; nối dialog; test các nhánh xóa/reset.</x:v>
      </x:c>
      <x:c r="H17" s="22" t="str">
        <x:v>Chưa phân công</x:v>
      </x:c>
      <x:c r="I17" s="20" t="str">
        <x:v>Backend/Fullstack</x:v>
      </x:c>
      <x:c r="J17" s="20" t="str">
        <x:v>Not Started</x:v>
      </x:c>
      <x:c r="K17" s="23" t="n">
        <x:v>0</x:v>
      </x:c>
      <x:c r="L17" s="20" t="str">
        <x:v>High</x:v>
      </x:c>
      <x:c r="M17" s="24" t="n">
        <x:v>2</x:v>
      </x:c>
      <x:c r="N17" s="25"/>
      <x:c r="O17" s="25"/>
      <x:c r="P17" s="20" t="str">
        <x:v>TASK-011, TASK-012</x:v>
      </x:c>
      <x:c r="Q17" s="21" t="str">
        <x:v>app/backend/src/Backend.Application/Users/ (đề xuất); app/frontend/src/features/users/components/ResetPasswordDialog.tsx; docs/requirements/BUSINESS_RULES.md</x:v>
      </x:c>
      <x:c r="R17" s="21" t="str">
        <x:v>Vòng đời tài khoản đúng quy tắc</x:v>
      </x:c>
      <x:c r="S17" s="21" t="str">
        <x:v>Không mất dữ liệu liên quan; tự xóa bị chặn; reset thu hồi phiên và yêu cầu OTP.</x:v>
      </x:c>
      <x:c r="T17" s="21" t="str"/>
      <x:c r="U17" s="20" t="n">
        <x:f>IF(AND(A17&lt;&gt;"",OR(L17="Critical",L17="High"),J17&lt;&gt;"Done"),COUNTIFS($L$5:L17,"Critical",$J$5:J17,"&lt;&gt;Done")+COUNTIFS($L$5:L17,"High",$J$5:J17,"&lt;&gt;Done"),"")</x:f>
        <x:v>12</x:v>
      </x:c>
    </x:row>
    <x:row r="18" ht="68" customHeight="1">
      <x:c r="A18" s="20" t="str">
        <x:v>TASK-014</x:v>
      </x:c>
      <x:c r="B18" s="20" t="str">
        <x:v>MOD-003</x:v>
      </x:c>
      <x:c r="C18" s="21" t="str">
        <x:v>Quản lý người dùng</x:v>
      </x:c>
      <x:c r="D18" s="21" t="str">
        <x:v>Giáo vụ quản lý vòng đời tài khoản và nhập CSV, gắn dữ liệu thật vào màn hình.</x:v>
      </x:c>
      <x:c r="E18" s="21" t="str">
        <x:v>Đồng bộ nhập CSV với danh sách thật</x:v>
      </x:c>
      <x:c r="F18" s="21" t="str">
        <x:v>Sau import, tải lại danh sách từ backend thay vì thêm dòng vào kho demo; kiểm chứng preview/commit và lỗi cạnh tranh.</x:v>
      </x:c>
      <x:c r="G18" s="21" t="str">
        <x:v>Đối chiếu PDR-004; sửa service và trang; chạy test import và request thật trên local.</x:v>
      </x:c>
      <x:c r="H18" s="22" t="str">
        <x:v>Chưa phân công</x:v>
      </x:c>
      <x:c r="I18" s="20" t="str">
        <x:v>Fullstack/QA</x:v>
      </x:c>
      <x:c r="J18" s="20" t="str">
        <x:v>Not Started</x:v>
      </x:c>
      <x:c r="K18" s="23" t="n">
        <x:v>0</x:v>
      </x:c>
      <x:c r="L18" s="20" t="str">
        <x:v>High</x:v>
      </x:c>
      <x:c r="M18" s="24" t="n">
        <x:v>1.5</x:v>
      </x:c>
      <x:c r="N18" s="25"/>
      <x:c r="O18" s="25"/>
      <x:c r="P18" s="20" t="str">
        <x:v>TASK-011</x:v>
      </x:c>
      <x:c r="Q18" s="21" t="str">
        <x:v>app/frontend/src/features/users/services/userService.ts; app/frontend/src/features/users/components/UserManagementPage.tsx; app/backend/tests/Backend.Tests/Features/Users/UserImportTests.cs</x:v>
      </x:c>
      <x:c r="R18" s="21" t="str">
        <x:v>CSV và danh sách nhất quán</x:v>
      </x:c>
      <x:c r="S18" s="21" t="str">
        <x:v>Preview không ghi; commit hiển thị đúng sau reload; 409 không lưu một phần.</x:v>
      </x:c>
      <x:c r="T18" s="21" t="str"/>
      <x:c r="U18" s="20" t="n">
        <x:f>IF(AND(A18&lt;&gt;"",OR(L18="Critical",L18="High"),J18&lt;&gt;"Done"),COUNTIFS($L$5:L18,"Critical",$J$5:J18,"&lt;&gt;Done")+COUNTIFS($L$5:L18,"High",$J$5:J18,"&lt;&gt;Done"),"")</x:f>
        <x:v>13</x:v>
      </x:c>
    </x:row>
    <x:row r="19" ht="68" customHeight="1">
      <x:c r="A19" s="20" t="str">
        <x:v>TASK-015</x:v>
      </x:c>
      <x:c r="B19" s="20" t="str">
        <x:v>MOD-004</x:v>
      </x:c>
      <x:c r="C19" s="21" t="str">
        <x:v>Đợt khóa luận</x:v>
      </x:c>
      <x:c r="D19" s="21" t="str">
        <x:v>Tạo, mở, kết thúc đợt; cấu hình mốc và quản lý người tham gia.</x:v>
      </x:c>
      <x:c r="E19" s="21" t="str">
        <x:v>Mô hình đợt, mốc và người tham gia</x:v>
      </x:c>
      <x:c r="F19" s="21" t="str">
        <x:v>Thiết kế entity/mapping/migration mới cho đợt, 9 mốc và quan hệ người tham gia, giữ Products.</x:v>
      </x:c>
      <x:c r="G19" s="21" t="str">
        <x:v>Đối chiếu domain model; ràng buộc duy nhất/FK; review SQL migration trước áp dụng.</x:v>
      </x:c>
      <x:c r="H19" s="22" t="str">
        <x:v>Chưa phân công</x:v>
      </x:c>
      <x:c r="I19" s="20" t="str">
        <x:v>Backend/Database</x:v>
      </x:c>
      <x:c r="J19" s="20" t="str">
        <x:v>Not Started</x:v>
      </x:c>
      <x:c r="K19" s="23" t="n">
        <x:v>0</x:v>
      </x:c>
      <x:c r="L19" s="20" t="str">
        <x:v>Critical</x:v>
      </x:c>
      <x:c r="M19" s="24" t="n">
        <x:v>2</x:v>
      </x:c>
      <x:c r="N19" s="25"/>
      <x:c r="O19" s="25"/>
      <x:c r="P19" s="20" t="str">
        <x:v>TASK-005, TASK-011</x:v>
      </x:c>
      <x:c r="Q19" s="21" t="str">
        <x:v>app/backend/src/Backend.Domain/Entities/ (đề xuất); app/backend/src/Backend.Infrastructure/Data/ApplicationDbContext.cs; app/backend/src/Backend.Infrastructure/Data/Migrations/ (đề xuất)</x:v>
      </x:c>
      <x:c r="R19" s="21" t="str">
        <x:v>Schema đợt có migration</x:v>
      </x:c>
      <x:c r="S19" s="21" t="str">
        <x:v>Mốc đúng đợt; FK/unique hợp lệ; không sửa migration đã áp dụng.</x:v>
      </x:c>
      <x:c r="T19" s="21" t="str"/>
      <x:c r="U19" s="20" t="n">
        <x:f>IF(AND(A19&lt;&gt;"",OR(L19="Critical",L19="High"),J19&lt;&gt;"Done"),COUNTIFS($L$5:L19,"Critical",$J$5:J19,"&lt;&gt;Done")+COUNTIFS($L$5:L19,"High",$J$5:J19,"&lt;&gt;Done"),"")</x:f>
        <x:v>14</x:v>
      </x:c>
    </x:row>
    <x:row r="20" ht="68" customHeight="1">
      <x:c r="A20" s="20" t="str">
        <x:v>TASK-016</x:v>
      </x:c>
      <x:c r="B20" s="20" t="str">
        <x:v>MOD-004</x:v>
      </x:c>
      <x:c r="C20" s="21" t="str">
        <x:v>Đợt khóa luận</x:v>
      </x:c>
      <x:c r="D20" s="21" t="str">
        <x:v>Tạo, mở, kết thúc đợt; cấu hình mốc và quản lý người tham gia.</x:v>
      </x:c>
      <x:c r="E20" s="21" t="str">
        <x:v>API tạo, xem và vòng đời đợt</x:v>
      </x:c>
      <x:c r="F20" s="21" t="str">
        <x:v>Cung cấp danh sách/chi tiết/tạo/mở/kết thúc/xóa Nháp; mọi chuyển trạng thái kiểm tra backend.</x:v>
      </x:c>
      <x:c r="G20" s="21" t="str">
        <x:v>Handler và endpoint; validation mốc điều kiện; test 401/403/404/409 và transaction.</x:v>
      </x:c>
      <x:c r="H20" s="22" t="str">
        <x:v>Chưa phân công</x:v>
      </x:c>
      <x:c r="I20" s="20" t="str">
        <x:v>Backend</x:v>
      </x:c>
      <x:c r="J20" s="20" t="str">
        <x:v>Not Started</x:v>
      </x:c>
      <x:c r="K20" s="23" t="n">
        <x:v>0</x:v>
      </x:c>
      <x:c r="L20" s="20" t="str">
        <x:v>Critical</x:v>
      </x:c>
      <x:c r="M20" s="24" t="n">
        <x:v>2</x:v>
      </x:c>
      <x:c r="N20" s="25"/>
      <x:c r="O20" s="25"/>
      <x:c r="P20" s="20" t="str">
        <x:v>TASK-015</x:v>
      </x:c>
      <x:c r="Q20" s="21" t="str">
        <x:v>app/backend/src/Backend.Application/ (đề xuất); app/backend/src/Backend.API/Controllers/ (đề xuất); app/frontend/src/features/rounds/services/roundService.ts</x:v>
      </x:c>
      <x:c r="R20" s="21" t="str">
        <x:v>API đợt theo hợp đồng</x:v>
      </x:c>
      <x:c r="S20" s="21" t="str">
        <x:v>Không mở/kết thúc sai trạng thái; tên trùng bị chặn; dữ liệu còn sau restart.</x:v>
      </x:c>
      <x:c r="T20" s="21" t="str"/>
      <x:c r="U20" s="20" t="n">
        <x:f>IF(AND(A20&lt;&gt;"",OR(L20="Critical",L20="High"),J20&lt;&gt;"Done"),COUNTIFS($L$5:L20,"Critical",$J$5:J20,"&lt;&gt;Done")+COUNTIFS($L$5:L20,"High",$J$5:J20,"&lt;&gt;Done"),"")</x:f>
        <x:v>15</x:v>
      </x:c>
    </x:row>
    <x:row r="21" ht="68" customHeight="1">
      <x:c r="A21" s="20" t="str">
        <x:v>TASK-017</x:v>
      </x:c>
      <x:c r="B21" s="20" t="str">
        <x:v>MOD-004</x:v>
      </x:c>
      <x:c r="C21" s="21" t="str">
        <x:v>Đợt khóa luận</x:v>
      </x:c>
      <x:c r="D21" s="21" t="str">
        <x:v>Tạo, mở, kết thúc đợt; cấu hình mốc và quản lý người tham gia.</x:v>
      </x:c>
      <x:c r="E21" s="21" t="str">
        <x:v>API cấu hình mốc và sao chép đợt</x:v>
      </x:c>
      <x:c r="F21" s="21" t="str">
        <x:v>Lưu 9 mốc, thứ tự, đối tượng thông báo; sao chép cấu hình đúng quy tắc, không sao chép ngày/sinh viên.</x:v>
      </x:c>
      <x:c r="G21" s="21" t="str">
        <x:v>Chốt contract; handler update/copy; test thứ tự và đợt đã kết thúc.</x:v>
      </x:c>
      <x:c r="H21" s="22" t="str">
        <x:v>Chưa phân công</x:v>
      </x:c>
      <x:c r="I21" s="20" t="str">
        <x:v>Backend</x:v>
      </x:c>
      <x:c r="J21" s="20" t="str">
        <x:v>Not Started</x:v>
      </x:c>
      <x:c r="K21" s="23" t="n">
        <x:v>0</x:v>
      </x:c>
      <x:c r="L21" s="20" t="str">
        <x:v>High</x:v>
      </x:c>
      <x:c r="M21" s="24" t="n">
        <x:v>1.5</x:v>
      </x:c>
      <x:c r="N21" s="25"/>
      <x:c r="O21" s="25"/>
      <x:c r="P21" s="20" t="str">
        <x:v>TASK-016</x:v>
      </x:c>
      <x:c r="Q21" s="21" t="str">
        <x:v>app/frontend/src/features/rounds/roundUtils.ts; app/backend/src/Backend.Application/ (đề xuất); app/backend/src/Backend.API/Controllers/ (đề xuất)</x:v>
      </x:c>
      <x:c r="R21" s="21" t="str">
        <x:v>Cấu hình mốc lưu bền vững</x:v>
      </x:c>
      <x:c r="S21" s="21" t="str">
        <x:v>Ngày sai thứ tự trả lỗi theo mốc; sao chép giữ đúng trường, không mang sinh viên.</x:v>
      </x:c>
      <x:c r="T21" s="21" t="str"/>
      <x:c r="U21" s="20" t="n">
        <x:f>IF(AND(A21&lt;&gt;"",OR(L21="Critical",L21="High"),J21&lt;&gt;"Done"),COUNTIFS($L$5:L21,"Critical",$J$5:J21,"&lt;&gt;Done")+COUNTIFS($L$5:L21,"High",$J$5:J21,"&lt;&gt;Done"),"")</x:f>
        <x:v>16</x:v>
      </x:c>
    </x:row>
    <x:row r="22" ht="68" customHeight="1">
      <x:c r="A22" s="20" t="str">
        <x:v>TASK-018</x:v>
      </x:c>
      <x:c r="B22" s="20" t="str">
        <x:v>MOD-004</x:v>
      </x:c>
      <x:c r="C22" s="21" t="str">
        <x:v>Đợt khóa luận</x:v>
      </x:c>
      <x:c r="D22" s="21" t="str">
        <x:v>Tạo, mở, kết thúc đợt; cấu hình mốc và quản lý người tham gia.</x:v>
      </x:c>
      <x:c r="E22" s="21" t="str">
        <x:v>API quản lý người tham gia đợt</x:v>
      </x:c>
      <x:c r="F22" s="21" t="str">
        <x:v>Tìm/check/thêm/gỡ SV/GV theo mã; kiểm tra SV không thuộc hai đợt đang diễn ra và không gỡ khi đã có dữ liệu.</x:v>
      </x:c>
      <x:c r="G22" s="21" t="str">
        <x:v>Nối bảng Users; transaction và unique; test thao tác đồng thời, quyền Giáo vụ.</x:v>
      </x:c>
      <x:c r="H22" s="22" t="str">
        <x:v>Chưa phân công</x:v>
      </x:c>
      <x:c r="I22" s="20" t="str">
        <x:v>Backend</x:v>
      </x:c>
      <x:c r="J22" s="20" t="str">
        <x:v>Not Started</x:v>
      </x:c>
      <x:c r="K22" s="23" t="n">
        <x:v>0</x:v>
      </x:c>
      <x:c r="L22" s="20" t="str">
        <x:v>High</x:v>
      </x:c>
      <x:c r="M22" s="24" t="n">
        <x:v>2</x:v>
      </x:c>
      <x:c r="N22" s="25"/>
      <x:c r="O22" s="25"/>
      <x:c r="P22" s="20" t="str">
        <x:v>TASK-016, TASK-011</x:v>
      </x:c>
      <x:c r="Q22" s="21" t="str">
        <x:v>app/frontend/src/features/rounds/components/AddParticipantsDialog.tsx; app/backend/src/Backend.Application/ (đề xuất); app/backend/src/Backend.Infrastructure/ (đề xuất)</x:v>
      </x:c>
      <x:c r="R22" s="21" t="str">
        <x:v>Người tham gia lưu bền vững</x:v>
      </x:c>
      <x:c r="S22" s="21" t="str">
        <x:v>Không thêm trùng/không gỡ SV có dữ liệu; request đồng thời không làm sai ràng buộc.</x:v>
      </x:c>
      <x:c r="T22" s="21" t="str"/>
      <x:c r="U22" s="20" t="n">
        <x:f>IF(AND(A22&lt;&gt;"",OR(L22="Critical",L22="High"),J22&lt;&gt;"Done"),COUNTIFS($L$5:L22,"Critical",$J$5:J22,"&lt;&gt;Done")+COUNTIFS($L$5:L22,"High",$J$5:J22,"&lt;&gt;Done"),"")</x:f>
        <x:v>17</x:v>
      </x:c>
    </x:row>
    <x:row r="23" ht="68" customHeight="1">
      <x:c r="A23" s="20" t="str">
        <x:v>TASK-019</x:v>
      </x:c>
      <x:c r="B23" s="20" t="str">
        <x:v>MOD-004</x:v>
      </x:c>
      <x:c r="C23" s="21" t="str">
        <x:v>Đợt khóa luận</x:v>
      </x:c>
      <x:c r="D23" s="21" t="str">
        <x:v>Tạo, mở, kết thúc đợt; cấu hình mốc và quản lý người tham gia.</x:v>
      </x:c>
      <x:c r="E23" s="21" t="str">
        <x:v>Nối màn đợt với API thật</x:v>
      </x:c>
      <x:c r="F23" s="21" t="str">
        <x:v>Thay kho bộ nhớ roundService cho danh sách, chi tiết, mốc và người tham gia; giữ trạng thái loading/error.</x:v>
      </x:c>
      <x:c r="G23" s="21" t="str">
        <x:v>Đối chiếu types với DTO; tích hợp từng hàm; test UI và reload.</x:v>
      </x:c>
      <x:c r="H23" s="22" t="str">
        <x:v>Chưa phân công</x:v>
      </x:c>
      <x:c r="I23" s="20" t="str">
        <x:v>Frontend</x:v>
      </x:c>
      <x:c r="J23" s="20" t="str">
        <x:v>Not Started</x:v>
      </x:c>
      <x:c r="K23" s="23" t="n">
        <x:v>0</x:v>
      </x:c>
      <x:c r="L23" s="20" t="str">
        <x:v>Critical</x:v>
      </x:c>
      <x:c r="M23" s="24" t="n">
        <x:v>2</x:v>
      </x:c>
      <x:c r="N23" s="25"/>
      <x:c r="O23" s="25"/>
      <x:c r="P23" s="20" t="str">
        <x:v>TASK-016, TASK-017, TASK-018</x:v>
      </x:c>
      <x:c r="Q23" s="21" t="str">
        <x:v>app/frontend/src/features/rounds/services/roundService.ts; app/frontend/src/features/rounds/components/RoundListPage.tsx; app/frontend/src/features/rounds/components/RoundDetailPage.tsx</x:v>
      </x:c>
      <x:c r="R23" s="21" t="str">
        <x:v>Màn đợt dùng dữ liệu thật</x:v>
      </x:c>
      <x:c r="S23" s="21" t="str">
        <x:v>Reload vẫn thấy đợt/mốc/người tham gia; lỗi 401/403/409 hiển thị đúng.</x:v>
      </x:c>
      <x:c r="T23" s="21" t="str"/>
      <x:c r="U23" s="20" t="n">
        <x:f>IF(AND(A23&lt;&gt;"",OR(L23="Critical",L23="High"),J23&lt;&gt;"Done"),COUNTIFS($L$5:L23,"Critical",$J$5:J23,"&lt;&gt;Done")+COUNTIFS($L$5:L23,"High",$J$5:J23,"&lt;&gt;Done"),"")</x:f>
        <x:v>18</x:v>
      </x:c>
    </x:row>
    <x:row r="24" ht="68" customHeight="1">
      <x:c r="A24" s="20" t="str">
        <x:v>TASK-020</x:v>
      </x:c>
      <x:c r="B24" s="20" t="str">
        <x:v>MOD-005</x:v>
      </x:c>
      <x:c r="C24" s="21" t="str">
        <x:v>Đề tài và đăng ký</x:v>
      </x:c>
      <x:c r="D24" s="21" t="str">
        <x:v>Công bố đề tài, nhóm 1–2 sinh viên, đăng ký hoặc đề xuất và xử lý lịch sử.</x:v>
      </x:c>
      <x:c r="E24" s="21" t="str">
        <x:v>Mô hình đề tài và nhóm</x:v>
      </x:c>
      <x:c r="F24" s="21" t="str">
        <x:v>Tạo entity đề tài, nhóm 1–2 SV, một đại diện, một SV/nhóm/đợt; lưu lịch sử trạng thái.</x:v>
      </x:c>
      <x:c r="G24" s="21" t="str">
        <x:v>Thiết kế ràng buộc DB/transaction; migration mới; test race đăng ký.</x:v>
      </x:c>
      <x:c r="H24" s="22" t="str">
        <x:v>Chưa phân công</x:v>
      </x:c>
      <x:c r="I24" s="20" t="str">
        <x:v>Backend/Database</x:v>
      </x:c>
      <x:c r="J24" s="20" t="str">
        <x:v>Not Started</x:v>
      </x:c>
      <x:c r="K24" s="23" t="n">
        <x:v>0</x:v>
      </x:c>
      <x:c r="L24" s="20" t="str">
        <x:v>Critical</x:v>
      </x:c>
      <x:c r="M24" s="24" t="n">
        <x:v>2</x:v>
      </x:c>
      <x:c r="N24" s="25"/>
      <x:c r="O24" s="25"/>
      <x:c r="P24" s="20" t="str">
        <x:v>TASK-015, TASK-005</x:v>
      </x:c>
      <x:c r="Q24" s="21" t="str">
        <x:v>app/backend/src/Backend.Domain/Entities/ (đề xuất); app/backend/src/Backend.Infrastructure/Data/ (đề xuất); docs/architecture/DOMAIN_MODEL.md</x:v>
      </x:c>
      <x:c r="R24" s="21" t="str">
        <x:v>Schema đề tài/nhóm</x:v>
      </x:c>
      <x:c r="S24" s="21" t="str">
        <x:v>Không có hai nhóm nhận một đề tài; một SV không ở hai nhóm cùng đợt; lịch sử còn nguyên.</x:v>
      </x:c>
      <x:c r="T24" s="21" t="str"/>
      <x:c r="U24" s="20" t="n">
        <x:f>IF(AND(A24&lt;&gt;"",OR(L24="Critical",L24="High"),J24&lt;&gt;"Done"),COUNTIFS($L$5:L24,"Critical",$J$5:J24,"&lt;&gt;Done")+COUNTIFS($L$5:L24,"High",$J$5:J24,"&lt;&gt;Done"),"")</x:f>
        <x:v>19</x:v>
      </x:c>
    </x:row>
    <x:row r="25" ht="68" customHeight="1">
      <x:c r="A25" s="20" t="str">
        <x:v>TASK-021</x:v>
      </x:c>
      <x:c r="B25" s="20" t="str">
        <x:v>MOD-005</x:v>
      </x:c>
      <x:c r="C25" s="21" t="str">
        <x:v>Đề tài và đăng ký</x:v>
      </x:c>
      <x:c r="D25" s="21" t="str">
        <x:v>Công bố đề tài, nhóm 1–2 sinh viên, đăng ký hoặc đề xuất và xử lý lịch sử.</x:v>
      </x:c>
      <x:c r="E25" s="21" t="str">
        <x:v>Giảng viên tạo và công bố đề tài</x:v>
      </x:c>
      <x:c r="F25" s="21" t="str">
        <x:v>Giảng viên quản lý đề tài của mình; Giáo vụ đóng/công bố danh sách; giới hạn đề tài GV chỉ cảnh báo.</x:v>
      </x:c>
      <x:c r="G25" s="21" t="str">
        <x:v>Handler CRUD/lifecycle; kiểm quyền theo người hướng dẫn; API và test.</x:v>
      </x:c>
      <x:c r="H25" s="22" t="str">
        <x:v>Chưa phân công</x:v>
      </x:c>
      <x:c r="I25" s="20" t="str">
        <x:v>Fullstack</x:v>
      </x:c>
      <x:c r="J25" s="20" t="str">
        <x:v>Not Started</x:v>
      </x:c>
      <x:c r="K25" s="23" t="n">
        <x:v>0</x:v>
      </x:c>
      <x:c r="L25" s="20" t="str">
        <x:v>High</x:v>
      </x:c>
      <x:c r="M25" s="24" t="n">
        <x:v>2</x:v>
      </x:c>
      <x:c r="N25" s="25"/>
      <x:c r="O25" s="25"/>
      <x:c r="P25" s="20" t="str">
        <x:v>TASK-020</x:v>
      </x:c>
      <x:c r="Q25" s="21" t="str">
        <x:v>app/backend/src/Backend.Application/ (đề xuất); app/backend/src/Backend.API/Controllers/ (đề xuất); app/frontend/app/(protected)/gv/[...slug]/page.tsx</x:v>
      </x:c>
      <x:c r="R25" s="21" t="str">
        <x:v>Đề tài được tạo/công bố</x:v>
      </x:c>
      <x:c r="S25" s="21" t="str">
        <x:v>GV không sửa đề tài người khác; công bố theo đợt; cảnh báo không chặn lưu.</x:v>
      </x:c>
      <x:c r="T25" s="21" t="str"/>
      <x:c r="U25" s="20" t="n">
        <x:f>IF(AND(A25&lt;&gt;"",OR(L25="Critical",L25="High"),J25&lt;&gt;"Done"),COUNTIFS($L$5:L25,"Critical",$J$5:J25,"&lt;&gt;Done")+COUNTIFS($L$5:L25,"High",$J$5:J25,"&lt;&gt;Done"),"")</x:f>
        <x:v>20</x:v>
      </x:c>
    </x:row>
    <x:row r="26" ht="68" customHeight="1">
      <x:c r="A26" s="20" t="str">
        <x:v>TASK-022</x:v>
      </x:c>
      <x:c r="B26" s="20" t="str">
        <x:v>MOD-005</x:v>
      </x:c>
      <x:c r="C26" s="21" t="str">
        <x:v>Đề tài và đăng ký</x:v>
      </x:c>
      <x:c r="D26" s="21" t="str">
        <x:v>Công bố đề tài, nhóm 1–2 sinh viên, đăng ký hoặc đề xuất và xử lý lịch sử.</x:v>
      </x:c>
      <x:c r="E26" s="21" t="str">
        <x:v>Đăng ký đề tài công bố</x:v>
      </x:c>
      <x:c r="F26" s="21" t="str">
        <x:v>Đại diện nhóm đăng ký một đề tài chưa có nhóm; hủy đăng ký đưa đề tài về Chưa đăng ký.</x:v>
      </x:c>
      <x:c r="G26" s="21" t="str">
        <x:v>API transaction/khóa cạnh tranh; UI SV; test 2 nhóm đăng ký cùng lúc.</x:v>
      </x:c>
      <x:c r="H26" s="22" t="str">
        <x:v>Chưa phân công</x:v>
      </x:c>
      <x:c r="I26" s="20" t="str">
        <x:v>Fullstack</x:v>
      </x:c>
      <x:c r="J26" s="20" t="str">
        <x:v>Not Started</x:v>
      </x:c>
      <x:c r="K26" s="23" t="n">
        <x:v>0</x:v>
      </x:c>
      <x:c r="L26" s="20" t="str">
        <x:v>Critical</x:v>
      </x:c>
      <x:c r="M26" s="24" t="n">
        <x:v>2</x:v>
      </x:c>
      <x:c r="N26" s="25"/>
      <x:c r="O26" s="25"/>
      <x:c r="P26" s="20" t="str">
        <x:v>TASK-020, TASK-021</x:v>
      </x:c>
      <x:c r="Q26" s="21" t="str">
        <x:v>app/backend/src/Backend.Application/ (đề xuất); app/frontend/app/(protected)/sv/[...slug]/page.tsx; docs/requirements/BUSINESS_RULES.md</x:v>
      </x:c>
      <x:c r="R26" s="21" t="str">
        <x:v>Đăng ký đề tài an toàn</x:v>
      </x:c>
      <x:c r="S26" s="21" t="str">
        <x:v>Chỉ một nhóm thắng; người không thuộc nhóm/đợt bị chặn; hủy ghi lịch sử.</x:v>
      </x:c>
      <x:c r="T26" s="21" t="str"/>
      <x:c r="U26" s="20" t="n">
        <x:f>IF(AND(A26&lt;&gt;"",OR(L26="Critical",L26="High"),J26&lt;&gt;"Done"),COUNTIFS($L$5:L26,"Critical",$J$5:J26,"&lt;&gt;Done")+COUNTIFS($L$5:L26,"High",$J$5:J26,"&lt;&gt;Done"),"")</x:f>
        <x:v>21</x:v>
      </x:c>
    </x:row>
    <x:row r="27" ht="68" customHeight="1">
      <x:c r="A27" s="20" t="str">
        <x:v>TASK-023</x:v>
      </x:c>
      <x:c r="B27" s="20" t="str">
        <x:v>MOD-005</x:v>
      </x:c>
      <x:c r="C27" s="21" t="str">
        <x:v>Đề tài và đăng ký</x:v>
      </x:c>
      <x:c r="D27" s="21" t="str">
        <x:v>Công bố đề tài, nhóm 1–2 sinh viên, đăng ký hoặc đề xuất và xử lý lịch sử.</x:v>
      </x:c>
      <x:c r="E27" s="21" t="str">
        <x:v>Đề xuất đề tài và xét duyệt</x:v>
      </x:c>
      <x:c r="F27" s="21" t="str">
        <x:v>SV đề xuất cùng GVHD; chỉ GV được nêu chấp nhận/từ chối kèm lý do; xử lý nhánh hủy theo quyết định.</x:v>
      </x:c>
      <x:c r="G27" s="21" t="str">
        <x:v>Thực hiện API và màn SV/GV; kiểm tra trạng thái và lịch sử; test các nhánh.</x:v>
      </x:c>
      <x:c r="H27" s="22" t="str">
        <x:v>Chưa phân công</x:v>
      </x:c>
      <x:c r="I27" s="20" t="str">
        <x:v>Fullstack</x:v>
      </x:c>
      <x:c r="J27" s="20" t="str">
        <x:v>Blocked</x:v>
      </x:c>
      <x:c r="K27" s="23" t="n">
        <x:v>0</x:v>
      </x:c>
      <x:c r="L27" s="20" t="str">
        <x:v>High</x:v>
      </x:c>
      <x:c r="M27" s="24" t="n">
        <x:v>2</x:v>
      </x:c>
      <x:c r="N27" s="25"/>
      <x:c r="O27" s="25"/>
      <x:c r="P27" s="20" t="str">
        <x:v>TASK-001, TASK-020, TASK-021</x:v>
      </x:c>
      <x:c r="Q27" s="21" t="str">
        <x:v>app/backend/src/Backend.Application/ (đề xuất); app/frontend/app/(protected)/gv/[...slug]/page.tsx; app/frontend/app/(protected)/sv/[...slug]/page.tsx</x:v>
      </x:c>
      <x:c r="R27" s="21" t="str">
        <x:v>Đề xuất/xét duyệt lưu bền vững</x:v>
      </x:c>
      <x:c r="S27" s="21" t="str">
        <x:v>Từ chối luôn có lý do; người khác không duyệt; hủy đúng quy tắc đã chốt.</x:v>
      </x:c>
      <x:c r="T27" s="21" t="str">
        <x:v>Chờ chốt OQ-001</x:v>
      </x:c>
      <x:c r="U27" s="20" t="n">
        <x:f>IF(AND(A27&lt;&gt;"",OR(L27="Critical",L27="High"),J27&lt;&gt;"Done"),COUNTIFS($L$5:L27,"Critical",$J$5:J27,"&lt;&gt;Done")+COUNTIFS($L$5:L27,"High",$J$5:J27,"&lt;&gt;Done"),"")</x:f>
        <x:v>22</x:v>
      </x:c>
    </x:row>
    <x:row r="28" ht="68" customHeight="1">
      <x:c r="A28" s="20" t="str">
        <x:v>TASK-024</x:v>
      </x:c>
      <x:c r="B28" s="20" t="str">
        <x:v>MOD-005</x:v>
      </x:c>
      <x:c r="C28" s="21" t="str">
        <x:v>Đề tài và đăng ký</x:v>
      </x:c>
      <x:c r="D28" s="21" t="str">
        <x:v>Công bố đề tài, nhóm 1–2 sinh viên, đăng ký hoặc đề xuất và xử lý lịch sử.</x:v>
      </x:c>
      <x:c r="E28" s="21" t="str">
        <x:v>Màn đề tài theo vai trò và lịch sử</x:v>
      </x:c>
      <x:c r="F28" s="21" t="str">
        <x:v>Làm danh sách, chi tiết, trạng thái, đơn đăng ký và lịch sử cho SV/GV/Giáo vụ từ API đã chốt.</x:v>
      </x:c>
      <x:c r="G28" s="21" t="str">
        <x:v>Bổ sung route thật thay placeholder; kiểm quyền và trạng thái trống; test điều hướng.</x:v>
      </x:c>
      <x:c r="H28" s="22" t="str">
        <x:v>Chưa phân công</x:v>
      </x:c>
      <x:c r="I28" s="20" t="str">
        <x:v>Frontend</x:v>
      </x:c>
      <x:c r="J28" s="20" t="str">
        <x:v>Not Started</x:v>
      </x:c>
      <x:c r="K28" s="23" t="n">
        <x:v>0</x:v>
      </x:c>
      <x:c r="L28" s="20" t="str">
        <x:v>High</x:v>
      </x:c>
      <x:c r="M28" s="24" t="n">
        <x:v>2</x:v>
      </x:c>
      <x:c r="N28" s="25"/>
      <x:c r="O28" s="25"/>
      <x:c r="P28" s="20" t="str">
        <x:v>TASK-021, TASK-022, TASK-023</x:v>
      </x:c>
      <x:c r="Q28" s="21" t="str">
        <x:v>app/frontend/src/features/navigation/menuConfig.ts; app/frontend/app/(protected)/sv/[...slug]/page.tsx; app/frontend/app/(protected)/gv/[...slug]/page.tsx; app/frontend/app/(protected)/giao-vu/[...slug]/page.tsx</x:v>
      </x:c>
      <x:c r="R28" s="21" t="str">
        <x:v>Các màn đề tài thật</x:v>
      </x:c>
      <x:c r="S28" s="21" t="str">
        <x:v>Mỗi vai trò thấy đúng dữ liệu; history khớp sự kiện; không dùng dữ liệu demo.</x:v>
      </x:c>
      <x:c r="T28" s="21" t="str"/>
      <x:c r="U28" s="20" t="n">
        <x:f>IF(AND(A28&lt;&gt;"",OR(L28="Critical",L28="High"),J28&lt;&gt;"Done"),COUNTIFS($L$5:L28,"Critical",$J$5:J28,"&lt;&gt;Done")+COUNTIFS($L$5:L28,"High",$J$5:J28,"&lt;&gt;Done"),"")</x:f>
        <x:v>23</x:v>
      </x:c>
    </x:row>
    <x:row r="29" ht="68" customHeight="1">
      <x:c r="A29" s="20" t="str">
        <x:v>TASK-025</x:v>
      </x:c>
      <x:c r="B29" s="20" t="str">
        <x:v>MOD-006</x:v>
      </x:c>
      <x:c r="C29" s="21" t="str">
        <x:v>Tài liệu và đề cương</x:v>
      </x:c>
      <x:c r="D29" s="21" t="str">
        <x:v>Quản lý phiên bản đề cương, nhận xét, bài khóa luận và bản cuối.</x:v>
      </x:c>
      <x:c r="E29" s="21" t="str">
        <x:v>Chốt hợp đồng và lưu trữ bài nộp</x:v>
      </x:c>
      <x:c r="F29" s="21" t="str">
        <x:v>Thiết kế metadata, phiên bản, quyền tải và giải pháp lưu file theo OQ-006; không lưu file trong DB.</x:v>
      </x:c>
      <x:c r="G29" s="21" t="str">
        <x:v>Chốt giới hạn/tệp; thiết kế key và vòng đời; mapping/migration; thử MinIO local.</x:v>
      </x:c>
      <x:c r="H29" s="22" t="str">
        <x:v>Chưa phân công</x:v>
      </x:c>
      <x:c r="I29" s="20" t="str">
        <x:v>Architect/Backend</x:v>
      </x:c>
      <x:c r="J29" s="20" t="str">
        <x:v>Blocked</x:v>
      </x:c>
      <x:c r="K29" s="23" t="n">
        <x:v>0</x:v>
      </x:c>
      <x:c r="L29" s="20" t="str">
        <x:v>Critical</x:v>
      </x:c>
      <x:c r="M29" s="24" t="n">
        <x:v>2</x:v>
      </x:c>
      <x:c r="N29" s="25"/>
      <x:c r="O29" s="25"/>
      <x:c r="P29" s="20" t="str">
        <x:v>TASK-004, TASK-020</x:v>
      </x:c>
      <x:c r="Q29" s="21" t="str">
        <x:v>docs/OPEN_QUESTIONS.md; app/backend/src/Backend.Infrastructure/Integrations/Storage/; app/backend/src/Backend.Infrastructure/Data/ (đề xuất)</x:v>
      </x:c>
      <x:c r="R29" s="21" t="str">
        <x:v>Thiết kế lưu trữ và schema</x:v>
      </x:c>
      <x:c r="S29" s="21" t="str">
        <x:v>Có giới hạn/tệp/retention, quyền truy cập và migration được review.</x:v>
      </x:c>
      <x:c r="T29" s="21" t="str">
        <x:v>Chờ chốt OQ-006</x:v>
      </x:c>
      <x:c r="U29" s="20" t="n">
        <x:f>IF(AND(A29&lt;&gt;"",OR(L29="Critical",L29="High"),J29&lt;&gt;"Done"),COUNTIFS($L$5:L29,"Critical",$J$5:J29,"&lt;&gt;Done")+COUNTIFS($L$5:L29,"High",$J$5:J29,"&lt;&gt;Done"),"")</x:f>
        <x:v>24</x:v>
      </x:c>
    </x:row>
    <x:row r="30" ht="68" customHeight="1">
      <x:c r="A30" s="20" t="str">
        <x:v>TASK-026</x:v>
      </x:c>
      <x:c r="B30" s="20" t="str">
        <x:v>MOD-006</x:v>
      </x:c>
      <x:c r="C30" s="21" t="str">
        <x:v>Tài liệu và đề cương</x:v>
      </x:c>
      <x:c r="D30" s="21" t="str">
        <x:v>Quản lý phiên bản đề cương, nhận xét, bài khóa luận và bản cuối.</x:v>
      </x:c>
      <x:c r="E30" s="21" t="str">
        <x:v>Nộp phiên bản đề cương và khóa luận</x:v>
      </x:c>
      <x:c r="F30" s="21" t="str">
        <x:v>SV trong nhóm nộp tài liệu theo mốc, giữ phiên bản và kiểm quyền; xử lý nộp trễ theo quyết định.</x:v>
      </x:c>
      <x:c r="G30" s="21" t="str">
        <x:v>API upload/download; validator và transaction metadata; test sai định dạng, quyền, trễ hạn.</x:v>
      </x:c>
      <x:c r="H30" s="22" t="str">
        <x:v>Chưa phân công</x:v>
      </x:c>
      <x:c r="I30" s="20" t="str">
        <x:v>Backend</x:v>
      </x:c>
      <x:c r="J30" s="20" t="str">
        <x:v>Blocked</x:v>
      </x:c>
      <x:c r="K30" s="23" t="n">
        <x:v>0</x:v>
      </x:c>
      <x:c r="L30" s="20" t="str">
        <x:v>Critical</x:v>
      </x:c>
      <x:c r="M30" s="24" t="n">
        <x:v>2</x:v>
      </x:c>
      <x:c r="N30" s="25"/>
      <x:c r="O30" s="25"/>
      <x:c r="P30" s="20" t="str">
        <x:v>TASK-025, TASK-017</x:v>
      </x:c>
      <x:c r="Q30" s="21" t="str">
        <x:v>app/backend/src/Backend.Application/ (đề xuất); app/backend/src/Backend.API/Controllers/ (đề xuất); app/backend/src/Backend.Infrastructure/Integrations/Storage/</x:v>
      </x:c>
      <x:c r="R30" s="21" t="str">
        <x:v>Nộp và tải phiên bản</x:v>
      </x:c>
      <x:c r="S30" s="21" t="str">
        <x:v>Tệp đúng quyền, phiên bản không mất; quá hạn xử lý theo quy tắc đã chốt.</x:v>
      </x:c>
      <x:c r="T30" s="21" t="str">
        <x:v>Chờ chốt OQ-006</x:v>
      </x:c>
      <x:c r="U30" s="20" t="n">
        <x:f>IF(AND(A30&lt;&gt;"",OR(L30="Critical",L30="High"),J30&lt;&gt;"Done"),COUNTIFS($L$5:L30,"Critical",$J$5:J30,"&lt;&gt;Done")+COUNTIFS($L$5:L30,"High",$J$5:J30,"&lt;&gt;Done"),"")</x:f>
        <x:v>25</x:v>
      </x:c>
    </x:row>
    <x:row r="31" ht="68" customHeight="1">
      <x:c r="A31" s="20" t="str">
        <x:v>TASK-027</x:v>
      </x:c>
      <x:c r="B31" s="20" t="str">
        <x:v>MOD-006</x:v>
      </x:c>
      <x:c r="C31" s="21" t="str">
        <x:v>Tài liệu và đề cương</x:v>
      </x:c>
      <x:c r="D31" s="21" t="str">
        <x:v>Quản lý phiên bản đề cương, nhận xét, bài khóa luận và bản cuối.</x:v>
      </x:c>
      <x:c r="E31" s="21" t="str">
        <x:v>Nhận xét và duyệt đề cương</x:v>
      </x:c>
      <x:c r="F31" s="21" t="str">
        <x:v>GVHD nhận xét/yêu cầu chỉnh sửa/duyệt từng bản; chỉ khi được duyệt đề tài chuyển Đang thực hiện.</x:v>
      </x:c>
      <x:c r="G31" s="21" t="str">
        <x:v>Chốt vòng đời OQ-003; API và UI GV/SV; test quyền và chuyển trạng thái.</x:v>
      </x:c>
      <x:c r="H31" s="22" t="str">
        <x:v>Chưa phân công</x:v>
      </x:c>
      <x:c r="I31" s="20" t="str">
        <x:v>Fullstack</x:v>
      </x:c>
      <x:c r="J31" s="20" t="str">
        <x:v>Blocked</x:v>
      </x:c>
      <x:c r="K31" s="23" t="n">
        <x:v>0</x:v>
      </x:c>
      <x:c r="L31" s="20" t="str">
        <x:v>High</x:v>
      </x:c>
      <x:c r="M31" s="24" t="n">
        <x:v>2</x:v>
      </x:c>
      <x:c r="N31" s="25"/>
      <x:c r="O31" s="25"/>
      <x:c r="P31" s="20" t="str">
        <x:v>TASK-002, TASK-026</x:v>
      </x:c>
      <x:c r="Q31" s="21" t="str">
        <x:v>app/backend/src/Backend.Application/ (đề xuất); app/frontend/app/(protected)/gv/[...slug]/page.tsx; docs/requirements/BUSINESS_RULES.md</x:v>
      </x:c>
      <x:c r="R31" s="21" t="str">
        <x:v>Luồng đề cương có lịch sử</x:v>
      </x:c>
      <x:c r="S31" s="21" t="str">
        <x:v>Người không phải GVHD không duyệt; mỗi yêu cầu chỉnh sửa truy được phiên bản.</x:v>
      </x:c>
      <x:c r="T31" s="21" t="str">
        <x:v>Chờ chốt OQ-003</x:v>
      </x:c>
      <x:c r="U31" s="20" t="n">
        <x:f>IF(AND(A31&lt;&gt;"",OR(L31="Critical",L31="High"),J31&lt;&gt;"Done"),COUNTIFS($L$5:L31,"Critical",$J$5:J31,"&lt;&gt;Done")+COUNTIFS($L$5:L31,"High",$J$5:J31,"&lt;&gt;Done"),"")</x:f>
        <x:v>26</x:v>
      </x:c>
    </x:row>
    <x:row r="32" ht="68" customHeight="1">
      <x:c r="A32" s="20" t="str">
        <x:v>TASK-028</x:v>
      </x:c>
      <x:c r="B32" s="20" t="str">
        <x:v>MOD-006</x:v>
      </x:c>
      <x:c r="C32" s="21" t="str">
        <x:v>Tài liệu và đề cương</x:v>
      </x:c>
      <x:c r="D32" s="21" t="str">
        <x:v>Quản lý phiên bản đề cương, nhận xét, bài khóa luận và bản cuối.</x:v>
      </x:c>
      <x:c r="E32" s="21" t="str">
        <x:v>Chốt bản cuối và không có bản nộp</x:v>
      </x:c>
      <x:c r="F32" s="21" t="str">
        <x:v>Cho chốt bản cuối và xử lý đến hạn không có bản theo OQ-002; hiển thị trạng thái cho nhóm/GV/Giáo vụ.</x:v>
      </x:c>
      <x:c r="G32" s="21" t="str">
        <x:v>Chốt quy tắc; handler; UI và test trước/sau hạn.</x:v>
      </x:c>
      <x:c r="H32" s="22" t="str">
        <x:v>Chưa phân công</x:v>
      </x:c>
      <x:c r="I32" s="20" t="str">
        <x:v>Fullstack</x:v>
      </x:c>
      <x:c r="J32" s="20" t="str">
        <x:v>Blocked</x:v>
      </x:c>
      <x:c r="K32" s="23" t="n">
        <x:v>0</x:v>
      </x:c>
      <x:c r="L32" s="20" t="str">
        <x:v>High</x:v>
      </x:c>
      <x:c r="M32" s="24" t="n">
        <x:v>1.5</x:v>
      </x:c>
      <x:c r="N32" s="25"/>
      <x:c r="O32" s="25"/>
      <x:c r="P32" s="20" t="str">
        <x:v>TASK-002, TASK-026</x:v>
      </x:c>
      <x:c r="Q32" s="21" t="str">
        <x:v>app/backend/src/Backend.Application/ (đề xuất); app/frontend/app/(protected)/sv/[...slug]/page.tsx; docs/OPEN_QUESTIONS.md</x:v>
      </x:c>
      <x:c r="R32" s="21" t="str">
        <x:v>Bản cuối xác định rõ</x:v>
      </x:c>
      <x:c r="S32" s="21" t="str">
        <x:v>Không công bố khi điều kiện bản cuối chưa đạt; trường hợp không có bản xử lý đúng quyết định.</x:v>
      </x:c>
      <x:c r="T32" s="21" t="str">
        <x:v>Chờ chốt OQ-002</x:v>
      </x:c>
      <x:c r="U32" s="20" t="n">
        <x:f>IF(AND(A32&lt;&gt;"",OR(L32="Critical",L32="High"),J32&lt;&gt;"Done"),COUNTIFS($L$5:L32,"Critical",$J$5:J32,"&lt;&gt;Done")+COUNTIFS($L$5:L32,"High",$J$5:J32,"&lt;&gt;Done"),"")</x:f>
        <x:v>27</x:v>
      </x:c>
    </x:row>
    <x:row r="33" ht="68" customHeight="1">
      <x:c r="A33" s="20" t="str">
        <x:v>TASK-029</x:v>
      </x:c>
      <x:c r="B33" s="20" t="str">
        <x:v>MOD-007</x:v>
      </x:c>
      <x:c r="C33" s="21" t="str">
        <x:v>Phân công phản biện</x:v>
      </x:c>
      <x:c r="D33" s="21" t="str">
        <x:v>Phân công phản biện theo đề tài, kiểm soát xung đột với người hướng dẫn.</x:v>
      </x:c>
      <x:c r="E33" s="21" t="str">
        <x:v>Mô hình và API phân công phản biện</x:v>
      </x:c>
      <x:c r="F33" s="21" t="str">
        <x:v>Lưu phân công từng đề tài; chặn GVHD làm phản biện cùng đề tài, giữ lịch sử đổi phân công.</x:v>
      </x:c>
      <x:c r="G33" s="21" t="str">
        <x:v>Entity/migration; API theo đợt và đề tài; test quyền và xung đột.</x:v>
      </x:c>
      <x:c r="H33" s="22" t="str">
        <x:v>Chưa phân công</x:v>
      </x:c>
      <x:c r="I33" s="20" t="str">
        <x:v>Backend</x:v>
      </x:c>
      <x:c r="J33" s="20" t="str">
        <x:v>Not Started</x:v>
      </x:c>
      <x:c r="K33" s="23" t="n">
        <x:v>0</x:v>
      </x:c>
      <x:c r="L33" s="20" t="str">
        <x:v>High</x:v>
      </x:c>
      <x:c r="M33" s="24" t="n">
        <x:v>2</x:v>
      </x:c>
      <x:c r="N33" s="25"/>
      <x:c r="O33" s="25"/>
      <x:c r="P33" s="20" t="str">
        <x:v>TASK-020, TASK-016</x:v>
      </x:c>
      <x:c r="Q33" s="21" t="str">
        <x:v>app/backend/src/Backend.Domain/Entities/ (đề xuất); app/backend/src/Backend.Application/ (đề xuất); app/backend/src/Backend.Infrastructure/Data/ (đề xuất)</x:v>
      </x:c>
      <x:c r="R33" s="21" t="str">
        <x:v>Phân công phản biện bền vững</x:v>
      </x:c>
      <x:c r="S33" s="21" t="str">
        <x:v>Không phân công GVHD cho chính đề tài; chỉ Giáo vụ sửa; lịch sử truy được.</x:v>
      </x:c>
      <x:c r="T33" s="21" t="str"/>
      <x:c r="U33" s="20" t="n">
        <x:f>IF(AND(A33&lt;&gt;"",OR(L33="Critical",L33="High"),J33&lt;&gt;"Done"),COUNTIFS($L$5:L33,"Critical",$J$5:J33,"&lt;&gt;Done")+COUNTIFS($L$5:L33,"High",$J$5:J33,"&lt;&gt;Done"),"")</x:f>
        <x:v>28</x:v>
      </x:c>
    </x:row>
    <x:row r="34" ht="68" customHeight="1">
      <x:c r="A34" s="20" t="str">
        <x:v>TASK-030</x:v>
      </x:c>
      <x:c r="B34" s="20" t="str">
        <x:v>MOD-007</x:v>
      </x:c>
      <x:c r="C34" s="21" t="str">
        <x:v>Phân công phản biện</x:v>
      </x:c>
      <x:c r="D34" s="21" t="str">
        <x:v>Phân công phản biện theo đề tài, kiểm soát xung đột với người hướng dẫn.</x:v>
      </x:c>
      <x:c r="E34" s="21" t="str">
        <x:v>Phân công hàng loạt và kiểm tra điều kiện</x:v>
      </x:c>
      <x:c r="F34" s="21" t="str">
        <x:v>Tạo thao tác phân công lô; trả lỗi theo đề tài và lưu nhất quán theo hợp đồng đã chốt.</x:v>
      </x:c>
      <x:c r="G34" s="21" t="str">
        <x:v>Thiết kế transaction; kiểm tra đề tài đủ điều kiện; test lô có mục lỗi.</x:v>
      </x:c>
      <x:c r="H34" s="22" t="str">
        <x:v>Chưa phân công</x:v>
      </x:c>
      <x:c r="I34" s="20" t="str">
        <x:v>Backend</x:v>
      </x:c>
      <x:c r="J34" s="20" t="str">
        <x:v>Not Started</x:v>
      </x:c>
      <x:c r="K34" s="23" t="n">
        <x:v>0</x:v>
      </x:c>
      <x:c r="L34" s="20" t="str">
        <x:v>Medium</x:v>
      </x:c>
      <x:c r="M34" s="24" t="n">
        <x:v>1.5</x:v>
      </x:c>
      <x:c r="N34" s="25"/>
      <x:c r="O34" s="25"/>
      <x:c r="P34" s="20" t="str">
        <x:v>TASK-029</x:v>
      </x:c>
      <x:c r="Q34" s="21" t="str">
        <x:v>app/backend/src/Backend.Application/ (đề xuất); app/backend/src/Backend.API/Controllers/ (đề xuất)</x:v>
      </x:c>
      <x:c r="R34" s="21" t="str">
        <x:v>API phân công lô</x:v>
      </x:c>
      <x:c r="S34" s="21" t="str">
        <x:v>Các mục lỗi có lý do; dữ liệu không rơi vào trạng thái nửa chừng.</x:v>
      </x:c>
      <x:c r="T34" s="21" t="str"/>
      <x:c r="U34" s="20" t="str">
        <x:f>IF(AND(A34&lt;&gt;"",OR(L34="Critical",L34="High"),J34&lt;&gt;"Done"),COUNTIFS($L$5:L34,"Critical",$J$5:J34,"&lt;&gt;Done")+COUNTIFS($L$5:L34,"High",$J$5:J34,"&lt;&gt;Done"),"")</x:f>
      </x:c>
    </x:row>
    <x:row r="35" ht="68" customHeight="1">
      <x:c r="A35" s="20" t="str">
        <x:v>TASK-031</x:v>
      </x:c>
      <x:c r="B35" s="20" t="str">
        <x:v>MOD-007</x:v>
      </x:c>
      <x:c r="C35" s="21" t="str">
        <x:v>Phân công phản biện</x:v>
      </x:c>
      <x:c r="D35" s="21" t="str">
        <x:v>Phân công phản biện theo đề tài, kiểm soát xung đột với người hướng dẫn.</x:v>
      </x:c>
      <x:c r="E35" s="21" t="str">
        <x:v>Màn Giáo vụ và Giảng viên phản biện</x:v>
      </x:c>
      <x:c r="F35" s="21" t="str">
        <x:v>Hiển thị phân công, đề tài chưa đủ điều kiện và danh sách GV phản biện theo quyền.</x:v>
      </x:c>
      <x:c r="G35" s="21" t="str">
        <x:v>Thay placeholder; nối API; test lọc và quyền.</x:v>
      </x:c>
      <x:c r="H35" s="22" t="str">
        <x:v>Chưa phân công</x:v>
      </x:c>
      <x:c r="I35" s="20" t="str">
        <x:v>Frontend</x:v>
      </x:c>
      <x:c r="J35" s="20" t="str">
        <x:v>Not Started</x:v>
      </x:c>
      <x:c r="K35" s="23" t="n">
        <x:v>0</x:v>
      </x:c>
      <x:c r="L35" s="20" t="str">
        <x:v>High</x:v>
      </x:c>
      <x:c r="M35" s="24" t="n">
        <x:v>2</x:v>
      </x:c>
      <x:c r="N35" s="25"/>
      <x:c r="O35" s="25"/>
      <x:c r="P35" s="20" t="str">
        <x:v>TASK-029, TASK-030</x:v>
      </x:c>
      <x:c r="Q35" s="21" t="str">
        <x:v>app/frontend/app/(protected)/giao-vu/[...slug]/page.tsx; app/frontend/app/(protected)/gv/[...slug]/page.tsx</x:v>
      </x:c>
      <x:c r="R35" s="21" t="str">
        <x:v>Màn phân công/nhận việc</x:v>
      </x:c>
      <x:c r="S35" s="21" t="str">
        <x:v>GV chỉ thấy đề tài được giao; Giáo vụ xem lý do không đủ điều kiện.</x:v>
      </x:c>
      <x:c r="T35" s="21" t="str"/>
      <x:c r="U35" s="20" t="n">
        <x:f>IF(AND(A35&lt;&gt;"",OR(L35="Critical",L35="High"),J35&lt;&gt;"Done"),COUNTIFS($L$5:L35,"Critical",$J$5:J35,"&lt;&gt;Done")+COUNTIFS($L$5:L35,"High",$J$5:J35,"&lt;&gt;Done"),"")</x:f>
        <x:v>29</x:v>
      </x:c>
    </x:row>
    <x:row r="36" ht="68" customHeight="1">
      <x:c r="A36" s="20" t="str">
        <x:v>TASK-032</x:v>
      </x:c>
      <x:c r="B36" s="20" t="str">
        <x:v>MOD-008</x:v>
      </x:c>
      <x:c r="C36" s="21" t="str">
        <x:v>Hội đồng và lịch bảo vệ</x:v>
      </x:c>
      <x:c r="D36" s="21" t="str">
        <x:v>Tạo hội đồng, gán đề tài, xếp lịch và công bố lịch bảo vệ.</x:v>
      </x:c>
      <x:c r="E36" s="21" t="str">
        <x:v>Mô hình hội đồng và thành viên</x:v>
      </x:c>
      <x:c r="F36" s="21" t="str">
        <x:v>Hội đồng đúng một chủ tịch, một thư ký; mỗi GV một vai trò/hội đồng; không trùng GVHD trên đề tài.</x:v>
      </x:c>
      <x:c r="G36" s="21" t="str">
        <x:v>Entity/migration, validation và test ràng buộc.</x:v>
      </x:c>
      <x:c r="H36" s="22" t="str">
        <x:v>Chưa phân công</x:v>
      </x:c>
      <x:c r="I36" s="20" t="str">
        <x:v>Backend/Database</x:v>
      </x:c>
      <x:c r="J36" s="20" t="str">
        <x:v>Not Started</x:v>
      </x:c>
      <x:c r="K36" s="23" t="n">
        <x:v>0</x:v>
      </x:c>
      <x:c r="L36" s="20" t="str">
        <x:v>High</x:v>
      </x:c>
      <x:c r="M36" s="24" t="n">
        <x:v>2</x:v>
      </x:c>
      <x:c r="N36" s="25"/>
      <x:c r="O36" s="25"/>
      <x:c r="P36" s="20" t="str">
        <x:v>TASK-020, TASK-029</x:v>
      </x:c>
      <x:c r="Q36" s="21" t="str">
        <x:v>app/backend/src/Backend.Domain/Entities/ (đề xuất); app/backend/src/Backend.Infrastructure/Data/ (đề xuất)</x:v>
      </x:c>
      <x:c r="R36" s="21" t="str">
        <x:v>Schema hội đồng</x:v>
      </x:c>
      <x:c r="S36" s="21" t="str">
        <x:v>Không tạo hội đồng thiếu/nhân đôi vai trò; không gán GVHD tự chấm.</x:v>
      </x:c>
      <x:c r="T36" s="21" t="str"/>
      <x:c r="U36" s="20" t="n">
        <x:f>IF(AND(A36&lt;&gt;"",OR(L36="Critical",L36="High"),J36&lt;&gt;"Done"),COUNTIFS($L$5:L36,"Critical",$J$5:J36,"&lt;&gt;Done")+COUNTIFS($L$5:L36,"High",$J$5:J36,"&lt;&gt;Done"),"")</x:f>
        <x:v>30</x:v>
      </x:c>
    </x:row>
    <x:row r="37" ht="68" customHeight="1">
      <x:c r="A37" s="20" t="str">
        <x:v>TASK-033</x:v>
      </x:c>
      <x:c r="B37" s="20" t="str">
        <x:v>MOD-008</x:v>
      </x:c>
      <x:c r="C37" s="21" t="str">
        <x:v>Hội đồng và lịch bảo vệ</x:v>
      </x:c>
      <x:c r="D37" s="21" t="str">
        <x:v>Tạo hội đồng, gán đề tài, xếp lịch và công bố lịch bảo vệ.</x:v>
      </x:c>
      <x:c r="E37" s="21" t="str">
        <x:v>API gán đề tài và thay thành viên</x:v>
      </x:c>
      <x:c r="F37" s="21" t="str">
        <x:v>Quản lý hội đồng và gán đề tài; thay thành viên có điểm chỉ thực hiện theo OQ-005.</x:v>
      </x:c>
      <x:c r="G37" s="21" t="str">
        <x:v>API CRUD/assignment; kiểm tra trạng thái và điểm; test các nhánh.</x:v>
      </x:c>
      <x:c r="H37" s="22" t="str">
        <x:v>Chưa phân công</x:v>
      </x:c>
      <x:c r="I37" s="20" t="str">
        <x:v>Backend</x:v>
      </x:c>
      <x:c r="J37" s="20" t="str">
        <x:v>Blocked</x:v>
      </x:c>
      <x:c r="K37" s="23" t="n">
        <x:v>0</x:v>
      </x:c>
      <x:c r="L37" s="20" t="str">
        <x:v>High</x:v>
      </x:c>
      <x:c r="M37" s="24" t="n">
        <x:v>2</x:v>
      </x:c>
      <x:c r="N37" s="25"/>
      <x:c r="O37" s="25"/>
      <x:c r="P37" s="20" t="str">
        <x:v>TASK-003, TASK-032</x:v>
      </x:c>
      <x:c r="Q37" s="21" t="str">
        <x:v>app/backend/src/Backend.Application/ (đề xuất); app/backend/src/Backend.API/Controllers/ (đề xuất)</x:v>
      </x:c>
      <x:c r="R37" s="21" t="str">
        <x:v>API hội đồng có kiểm soát</x:v>
      </x:c>
      <x:c r="S37" s="21" t="str">
        <x:v>Không làm mất điểm khi đổi thành viên; áp dụng quy tắc đã chốt và ghi lịch sử.</x:v>
      </x:c>
      <x:c r="T37" s="21" t="str">
        <x:v>Chờ chốt OQ-005</x:v>
      </x:c>
      <x:c r="U37" s="20" t="n">
        <x:f>IF(AND(A37&lt;&gt;"",OR(L37="Critical",L37="High"),J37&lt;&gt;"Done"),COUNTIFS($L$5:L37,"Critical",$J$5:J37,"&lt;&gt;Done")+COUNTIFS($L$5:L37,"High",$J$5:J37,"&lt;&gt;Done"),"")</x:f>
        <x:v>31</x:v>
      </x:c>
    </x:row>
    <x:row r="38" ht="68" customHeight="1">
      <x:c r="A38" s="20" t="str">
        <x:v>TASK-034</x:v>
      </x:c>
      <x:c r="B38" s="20" t="str">
        <x:v>MOD-008</x:v>
      </x:c>
      <x:c r="C38" s="21" t="str">
        <x:v>Hội đồng và lịch bảo vệ</x:v>
      </x:c>
      <x:c r="D38" s="21" t="str">
        <x:v>Tạo hội đồng, gán đề tài, xếp lịch và công bố lịch bảo vệ.</x:v>
      </x:c>
      <x:c r="E38" s="21" t="str">
        <x:v>Lập và công bố lịch bảo vệ</x:v>
      </x:c>
      <x:c r="F38" s="21" t="str">
        <x:v>Lưu ngày, giờ, phòng, thứ tự; chặn trùng phòng và sửa/xóa theo OQ-004.</x:v>
      </x:c>
      <x:c r="G38" s="21" t="str">
        <x:v>Thiết kế kiểm tra xung đột; API công bố; test race và lịch đã công bố.</x:v>
      </x:c>
      <x:c r="H38" s="22" t="str">
        <x:v>Chưa phân công</x:v>
      </x:c>
      <x:c r="I38" s="20" t="str">
        <x:v>Backend</x:v>
      </x:c>
      <x:c r="J38" s="20" t="str">
        <x:v>Blocked</x:v>
      </x:c>
      <x:c r="K38" s="23" t="n">
        <x:v>0</x:v>
      </x:c>
      <x:c r="L38" s="20" t="str">
        <x:v>High</x:v>
      </x:c>
      <x:c r="M38" s="24" t="n">
        <x:v>2</x:v>
      </x:c>
      <x:c r="N38" s="25"/>
      <x:c r="O38" s="25"/>
      <x:c r="P38" s="20" t="str">
        <x:v>TASK-003, TASK-033</x:v>
      </x:c>
      <x:c r="Q38" s="21" t="str">
        <x:v>app/backend/src/Backend.Application/ (đề xuất); app/backend/src/Backend.Infrastructure/Data/ (đề xuất)</x:v>
      </x:c>
      <x:c r="R38" s="21" t="str">
        <x:v>Lịch bảo vệ bền vững</x:v>
      </x:c>
      <x:c r="S38" s="21" t="str">
        <x:v>Trùng lịch xử lý theo quyết định; lịch đã có điểm không bị sửa sai; SV/GV chỉ xem lịch phù hợp.</x:v>
      </x:c>
      <x:c r="T38" s="21" t="str">
        <x:v>Chờ chốt OQ-004</x:v>
      </x:c>
      <x:c r="U38" s="20" t="n">
        <x:f>IF(AND(A38&lt;&gt;"",OR(L38="Critical",L38="High"),J38&lt;&gt;"Done"),COUNTIFS($L$5:L38,"Critical",$J$5:J38,"&lt;&gt;Done")+COUNTIFS($L$5:L38,"High",$J$5:J38,"&lt;&gt;Done"),"")</x:f>
        <x:v>32</x:v>
      </x:c>
    </x:row>
    <x:row r="39" ht="68" customHeight="1">
      <x:c r="A39" s="20" t="str">
        <x:v>TASK-035</x:v>
      </x:c>
      <x:c r="B39" s="20" t="str">
        <x:v>MOD-008</x:v>
      </x:c>
      <x:c r="C39" s="21" t="str">
        <x:v>Hội đồng và lịch bảo vệ</x:v>
      </x:c>
      <x:c r="D39" s="21" t="str">
        <x:v>Tạo hội đồng, gán đề tài, xếp lịch và công bố lịch bảo vệ.</x:v>
      </x:c>
      <x:c r="E39" s="21" t="str">
        <x:v>Màn hội đồng và lịch theo vai trò</x:v>
      </x:c>
      <x:c r="F39" s="21" t="str">
        <x:v>Giáo vụ xếp lịch/hội đồng; GV xem lịch được giao; SV xem lịch đề tài mình.</x:v>
      </x:c>
      <x:c r="G39" s="21" t="str">
        <x:v>Tạo route thật từ sitemap; nối API; test các góc nhìn và quyền.</x:v>
      </x:c>
      <x:c r="H39" s="22" t="str">
        <x:v>Chưa phân công</x:v>
      </x:c>
      <x:c r="I39" s="20" t="str">
        <x:v>Frontend</x:v>
      </x:c>
      <x:c r="J39" s="20" t="str">
        <x:v>Not Started</x:v>
      </x:c>
      <x:c r="K39" s="23" t="n">
        <x:v>0</x:v>
      </x:c>
      <x:c r="L39" s="20" t="str">
        <x:v>High</x:v>
      </x:c>
      <x:c r="M39" s="24" t="n">
        <x:v>2</x:v>
      </x:c>
      <x:c r="N39" s="25"/>
      <x:c r="O39" s="25"/>
      <x:c r="P39" s="20" t="str">
        <x:v>TASK-033, TASK-034</x:v>
      </x:c>
      <x:c r="Q39" s="21" t="str">
        <x:v>app/frontend/app/(protected)/giao-vu/[...slug]/page.tsx; app/frontend/app/(protected)/gv/[...slug]/page.tsx; app/frontend/app/(protected)/sv/[...slug]/page.tsx</x:v>
      </x:c>
      <x:c r="R39" s="21" t="str">
        <x:v>Màn lịch/hội đồng</x:v>
      </x:c>
      <x:c r="S39" s="21" t="str">
        <x:v>Mỗi vai trò thấy đúng lịch; thay đổi được phản ánh sau reload.</x:v>
      </x:c>
      <x:c r="T39" s="21" t="str"/>
      <x:c r="U39" s="20" t="n">
        <x:f>IF(AND(A39&lt;&gt;"",OR(L39="Critical",L39="High"),J39&lt;&gt;"Done"),COUNTIFS($L$5:L39,"Critical",$J$5:J39,"&lt;&gt;Done")+COUNTIFS($L$5:L39,"High",$J$5:J39,"&lt;&gt;Done"),"")</x:f>
        <x:v>33</x:v>
      </x:c>
    </x:row>
    <x:row r="40" ht="68" customHeight="1">
      <x:c r="A40" s="20" t="str">
        <x:v>TASK-036</x:v>
      </x:c>
      <x:c r="B40" s="20" t="str">
        <x:v>MOD-009</x:v>
      </x:c>
      <x:c r="C40" s="21" t="str">
        <x:v>Phiếu đánh giá và điểm</x:v>
      </x:c>
      <x:c r="D40" s="21" t="str">
        <x:v>Quản lý mẫu phiếu, bốn thành phần điểm riêng từng sinh viên, cảnh báo lệch.</x:v>
      </x:c>
      <x:c r="E40" s="21" t="str">
        <x:v>Mẫu phiếu và tiêu chí chấm</x:v>
      </x:c>
      <x:c r="F40" s="21" t="str">
        <x:v>Giáo vụ tạo/sửa mẫu và gán theo vai trò chấm trong từng đợt; lưu cấu trúc tiêu chí.</x:v>
      </x:c>
      <x:c r="G40" s="21" t="str">
        <x:v>Thiết kế entity/migration/API; kiểm quyền và test gán mẫu.</x:v>
      </x:c>
      <x:c r="H40" s="22" t="str">
        <x:v>Chưa phân công</x:v>
      </x:c>
      <x:c r="I40" s="20" t="str">
        <x:v>Fullstack</x:v>
      </x:c>
      <x:c r="J40" s="20" t="str">
        <x:v>Not Started</x:v>
      </x:c>
      <x:c r="K40" s="23" t="n">
        <x:v>0</x:v>
      </x:c>
      <x:c r="L40" s="20" t="str">
        <x:v>High</x:v>
      </x:c>
      <x:c r="M40" s="24" t="n">
        <x:v>2</x:v>
      </x:c>
      <x:c r="N40" s="25"/>
      <x:c r="O40" s="25"/>
      <x:c r="P40" s="20" t="str">
        <x:v>TASK-016, TASK-005</x:v>
      </x:c>
      <x:c r="Q40" s="21" t="str">
        <x:v>app/backend/src/Backend.Domain/Entities/ (đề xuất); app/backend/src/Backend.Infrastructure/Data/ (đề xuất); app/frontend/app/(protected)/giao-vu/[...slug]/page.tsx</x:v>
      </x:c>
      <x:c r="R40" s="21" t="str">
        <x:v>Mẫu phiếu dùng được</x:v>
      </x:c>
      <x:c r="S40" s="21" t="str">
        <x:v>Mẫu gán đúng đợt/vai trò; không làm hỏng phiếu đã dùng.</x:v>
      </x:c>
      <x:c r="T40" s="21" t="str"/>
      <x:c r="U40" s="20" t="n">
        <x:f>IF(AND(A40&lt;&gt;"",OR(L40="Critical",L40="High"),J40&lt;&gt;"Done"),COUNTIFS($L$5:L40,"Critical",$J$5:J40,"&lt;&gt;Done")+COUNTIFS($L$5:L40,"High",$J$5:J40,"&lt;&gt;Done"),"")</x:f>
        <x:v>34</x:v>
      </x:c>
    </x:row>
    <x:row r="41" ht="68" customHeight="1">
      <x:c r="A41" s="20" t="str">
        <x:v>TASK-037</x:v>
      </x:c>
      <x:c r="B41" s="20" t="str">
        <x:v>MOD-009</x:v>
      </x:c>
      <x:c r="C41" s="21" t="str">
        <x:v>Phiếu đánh giá và điểm</x:v>
      </x:c>
      <x:c r="D41" s="21" t="str">
        <x:v>Quản lý mẫu phiếu, bốn thành phần điểm riêng từng sinh viên, cảnh báo lệch.</x:v>
      </x:c>
      <x:c r="E41" s="21" t="str">
        <x:v>Lưu bốn phiếu theo từng sinh viên</x:v>
      </x:c>
      <x:c r="F41" s="21" t="str">
        <x:v>Lưu CTHĐ, TKHĐ, CBHD, CBPB riêng từng SV; thư ký nhập điểm CTHĐ/TKHĐ theo PDR-001.</x:v>
      </x:c>
      <x:c r="G41" s="21" t="str">
        <x:v>Mapping và API; kiểm tra phân công theo đề tài; test mỗi vai trò và SV.</x:v>
      </x:c>
      <x:c r="H41" s="22" t="str">
        <x:v>Chưa phân công</x:v>
      </x:c>
      <x:c r="I41" s="20" t="str">
        <x:v>Backend</x:v>
      </x:c>
      <x:c r="J41" s="20" t="str">
        <x:v>Not Started</x:v>
      </x:c>
      <x:c r="K41" s="23" t="n">
        <x:v>0</x:v>
      </x:c>
      <x:c r="L41" s="20" t="str">
        <x:v>Critical</x:v>
      </x:c>
      <x:c r="M41" s="24" t="n">
        <x:v>2</x:v>
      </x:c>
      <x:c r="N41" s="25"/>
      <x:c r="O41" s="25"/>
      <x:c r="P41" s="20" t="str">
        <x:v>TASK-036, TASK-029, TASK-033</x:v>
      </x:c>
      <x:c r="Q41" s="21" t="str">
        <x:v>app/backend/src/Backend.Application/ (đề xuất); app/backend/src/Backend.Infrastructure/Data/ (đề xuất); docs/product/ROLES.md</x:v>
      </x:c>
      <x:c r="R41" s="21" t="str">
        <x:v>Phiếu điểm theo SV và vai trò</x:v>
      </x:c>
      <x:c r="S41" s="21" t="str">
        <x:v>Không dùng điểm chung cho nhóm; người không được phân công không ghi điểm.</x:v>
      </x:c>
      <x:c r="T41" s="21" t="str"/>
      <x:c r="U41" s="20" t="n">
        <x:f>IF(AND(A41&lt;&gt;"",OR(L41="Critical",L41="High"),J41&lt;&gt;"Done"),COUNTIFS($L$5:L41,"Critical",$J$5:J41,"&lt;&gt;Done")+COUNTIFS($L$5:L41,"High",$J$5:J41,"&lt;&gt;Done"),"")</x:f>
        <x:v>35</x:v>
      </x:c>
    </x:row>
    <x:row r="42" ht="68" customHeight="1">
      <x:c r="A42" s="20" t="str">
        <x:v>TASK-038</x:v>
      </x:c>
      <x:c r="B42" s="20" t="str">
        <x:v>MOD-009</x:v>
      </x:c>
      <x:c r="C42" s="21" t="str">
        <x:v>Phiếu đánh giá và điểm</x:v>
      </x:c>
      <x:c r="D42" s="21" t="str">
        <x:v>Quản lý mẫu phiếu, bốn thành phần điểm riêng từng sinh viên, cảnh báo lệch.</x:v>
      </x:c>
      <x:c r="E42" s="21" t="str">
        <x:v>Tính điểm và cảnh báo lệch</x:v>
      </x:c>
      <x:c r="F42" s="21" t="str">
        <x:v>Chỉ tính khi đủ bốn điểm; áp dụng (CTHĐ+TKHĐ+2×CBHD+2×CBPB)/6, làm tròn 2 số; cờ lệch từ 2 điểm.</x:v>
      </x:c>
      <x:c r="G42" s="21" t="str">
        <x:v>Handler tính toán; test biên thiếu điểm, làm tròn, ngưỡng 2; trạng thái đề tài theo nhóm.</x:v>
      </x:c>
      <x:c r="H42" s="22" t="str">
        <x:v>Chưa phân công</x:v>
      </x:c>
      <x:c r="I42" s="20" t="str">
        <x:v>Backend/QA</x:v>
      </x:c>
      <x:c r="J42" s="20" t="str">
        <x:v>Not Started</x:v>
      </x:c>
      <x:c r="K42" s="23" t="n">
        <x:v>0</x:v>
      </x:c>
      <x:c r="L42" s="20" t="str">
        <x:v>Critical</x:v>
      </x:c>
      <x:c r="M42" s="24" t="n">
        <x:v>1.5</x:v>
      </x:c>
      <x:c r="N42" s="25"/>
      <x:c r="O42" s="25"/>
      <x:c r="P42" s="20" t="str">
        <x:v>TASK-037</x:v>
      </x:c>
      <x:c r="Q42" s="21" t="str">
        <x:v>app/backend/src/Backend.Application/ (đề xuất); docs/requirements/BUSINESS_RULES.md</x:v>
      </x:c>
      <x:c r="R42" s="21" t="str">
        <x:v>Điểm tổng và cảnh báo đúng</x:v>
      </x:c>
      <x:c r="S42" s="21" t="str">
        <x:v>Chưa đủ bốn điểm không có tổng; cảnh báo không chặn lưu; đề tài đủ điểm khi mọi SV đủ.</x:v>
      </x:c>
      <x:c r="T42" s="21" t="str"/>
      <x:c r="U42" s="20" t="n">
        <x:f>IF(AND(A42&lt;&gt;"",OR(L42="Critical",L42="High"),J42&lt;&gt;"Done"),COUNTIFS($L$5:L42,"Critical",$J$5:J42,"&lt;&gt;Done")+COUNTIFS($L$5:L42,"High",$J$5:J42,"&lt;&gt;Done"),"")</x:f>
        <x:v>36</x:v>
      </x:c>
    </x:row>
    <x:row r="43" ht="68" customHeight="1">
      <x:c r="A43" s="20" t="str">
        <x:v>TASK-039</x:v>
      </x:c>
      <x:c r="B43" s="20" t="str">
        <x:v>MOD-009</x:v>
      </x:c>
      <x:c r="C43" s="21" t="str">
        <x:v>Phiếu đánh giá và điểm</x:v>
      </x:c>
      <x:c r="D43" s="21" t="str">
        <x:v>Quản lý mẫu phiếu, bốn thành phần điểm riêng từng sinh viên, cảnh báo lệch.</x:v>
      </x:c>
      <x:c r="E43" s="21" t="str">
        <x:v>Màn chấm điểm theo phân công</x:v>
      </x:c>
      <x:c r="F43" s="21" t="str">
        <x:v>GVHD, PB, thư ký dùng phiếu theo vai trò; chủ tịch chỉ xem; Giáo vụ thấy cảnh báo.</x:v>
      </x:c>
      <x:c r="G43" s="21" t="str">
        <x:v>Tạo màn thật; form tiêu chí và lỗi theo ô; nối API và test quyền.</x:v>
      </x:c>
      <x:c r="H43" s="22" t="str">
        <x:v>Chưa phân công</x:v>
      </x:c>
      <x:c r="I43" s="20" t="str">
        <x:v>Frontend</x:v>
      </x:c>
      <x:c r="J43" s="20" t="str">
        <x:v>Not Started</x:v>
      </x:c>
      <x:c r="K43" s="23" t="n">
        <x:v>0</x:v>
      </x:c>
      <x:c r="L43" s="20" t="str">
        <x:v>High</x:v>
      </x:c>
      <x:c r="M43" s="24" t="n">
        <x:v>2</x:v>
      </x:c>
      <x:c r="N43" s="25"/>
      <x:c r="O43" s="25"/>
      <x:c r="P43" s="20" t="str">
        <x:v>TASK-037, TASK-038</x:v>
      </x:c>
      <x:c r="Q43" s="21" t="str">
        <x:v>app/frontend/app/(protected)/gv/[...slug]/page.tsx; app/frontend/app/(protected)/giao-vu/[...slug]/page.tsx</x:v>
      </x:c>
      <x:c r="R43" s="21" t="str">
        <x:v>Giao diện nhập/xem điểm</x:v>
      </x:c>
      <x:c r="S43" s="21" t="str">
        <x:v>Không hiển thị nút nhập cho chủ tịch; lỗi thiếu hạng mục rõ; sau reload điểm còn.</x:v>
      </x:c>
      <x:c r="T43" s="21" t="str"/>
      <x:c r="U43" s="20" t="n">
        <x:f>IF(AND(A43&lt;&gt;"",OR(L43="Critical",L43="High"),J43&lt;&gt;"Done"),COUNTIFS($L$5:L43,"Critical",$J$5:J43,"&lt;&gt;Done")+COUNTIFS($L$5:L43,"High",$J$5:J43,"&lt;&gt;Done"),"")</x:f>
        <x:v>37</x:v>
      </x:c>
    </x:row>
    <x:row r="44" ht="68" customHeight="1">
      <x:c r="A44" s="20" t="str">
        <x:v>TASK-040</x:v>
      </x:c>
      <x:c r="B44" s="20" t="str">
        <x:v>MOD-010</x:v>
      </x:c>
      <x:c r="C44" s="21" t="str">
        <x:v>Kết quả và công bố</x:v>
      </x:c>
      <x:c r="D44" s="21" t="str">
        <x:v>Tính, xác nhận, khóa sửa, công bố kết quả và xuất bảng điểm.</x:v>
      </x:c>
      <x:c r="E44" s="21" t="str">
        <x:v>Xác nhận và khóa kết quả</x:v>
      </x:c>
      <x:c r="F44" s="21" t="str">
        <x:v>Giáo vụ xác nhận theo SV hoặc lô khi đủ bốn phiếu; sau xác nhận không sửa điểm.</x:v>
      </x:c>
      <x:c r="G44" s="21" t="str">
        <x:v>API transaction; hiển thị cảnh báo lệch; test khóa sửa và lô có mục chưa đủ.</x:v>
      </x:c>
      <x:c r="H44" s="22" t="str">
        <x:v>Chưa phân công</x:v>
      </x:c>
      <x:c r="I44" s="20" t="str">
        <x:v>Backend</x:v>
      </x:c>
      <x:c r="J44" s="20" t="str">
        <x:v>Not Started</x:v>
      </x:c>
      <x:c r="K44" s="23" t="n">
        <x:v>0</x:v>
      </x:c>
      <x:c r="L44" s="20" t="str">
        <x:v>Critical</x:v>
      </x:c>
      <x:c r="M44" s="24" t="n">
        <x:v>2</x:v>
      </x:c>
      <x:c r="N44" s="25"/>
      <x:c r="O44" s="25"/>
      <x:c r="P44" s="20" t="str">
        <x:v>TASK-038</x:v>
      </x:c>
      <x:c r="Q44" s="21" t="str">
        <x:v>app/backend/src/Backend.Application/ (đề xuất); app/backend/src/Backend.API/Controllers/ (đề xuất)</x:v>
      </x:c>
      <x:c r="R44" s="21" t="str">
        <x:v>Kết quả đã xác nhận có khóa</x:v>
      </x:c>
      <x:c r="S44" s="21" t="str">
        <x:v>Không xác nhận thiếu phiếu; điểm đã xác nhận không thay đổi; ghi lịch sử.</x:v>
      </x:c>
      <x:c r="T44" s="21" t="str"/>
      <x:c r="U44" s="20" t="n">
        <x:f>IF(AND(A44&lt;&gt;"",OR(L44="Critical",L44="High"),J44&lt;&gt;"Done"),COUNTIFS($L$5:L44,"Critical",$J$5:J44,"&lt;&gt;Done")+COUNTIFS($L$5:L44,"High",$J$5:J44,"&lt;&gt;Done"),"")</x:f>
        <x:v>38</x:v>
      </x:c>
    </x:row>
    <x:row r="45" ht="68" customHeight="1">
      <x:c r="A45" s="20" t="str">
        <x:v>TASK-041</x:v>
      </x:c>
      <x:c r="B45" s="20" t="str">
        <x:v>MOD-010</x:v>
      </x:c>
      <x:c r="C45" s="21" t="str">
        <x:v>Kết quả và công bố</x:v>
      </x:c>
      <x:c r="D45" s="21" t="str">
        <x:v>Tính, xác nhận, khóa sửa, công bố kết quả và xuất bảng điểm.</x:v>
      </x:c>
      <x:c r="E45" s="21" t="str">
        <x:v>Công bố và xem kết quả cá nhân</x:v>
      </x:c>
      <x:c r="F45" s="21" t="str">
        <x:v>Chỉ công bố khi xác nhận và bản cuối hợp lệ; SV chỉ xem điểm của mình sau công bố.</x:v>
      </x:c>
      <x:c r="G45" s="21" t="str">
        <x:v>Áp dụng OQ-002; API công bố; màn kết quả theo vai trò; test quyền.</x:v>
      </x:c>
      <x:c r="H45" s="22" t="str">
        <x:v>Chưa phân công</x:v>
      </x:c>
      <x:c r="I45" s="20" t="str">
        <x:v>Fullstack</x:v>
      </x:c>
      <x:c r="J45" s="20" t="str">
        <x:v>Blocked</x:v>
      </x:c>
      <x:c r="K45" s="23" t="n">
        <x:v>0</x:v>
      </x:c>
      <x:c r="L45" s="20" t="str">
        <x:v>Critical</x:v>
      </x:c>
      <x:c r="M45" s="24" t="n">
        <x:v>2</x:v>
      </x:c>
      <x:c r="N45" s="25"/>
      <x:c r="O45" s="25"/>
      <x:c r="P45" s="20" t="str">
        <x:v>TASK-002, TASK-028, TASK-040</x:v>
      </x:c>
      <x:c r="Q45" s="21" t="str">
        <x:v>app/backend/src/Backend.Application/ (đề xuất); app/frontend/app/(protected)/sv/[...slug]/page.tsx; app/frontend/app/(protected)/giao-vu/[...slug]/page.tsx</x:v>
      </x:c>
      <x:c r="R45" s="21" t="str">
        <x:v>Kết quả công bố an toàn</x:v>
      </x:c>
      <x:c r="S45" s="21" t="str">
        <x:v>Trước công bố SV không thấy điểm; sau công bố chỉ thấy của mình; đề tài Đã hoàn tất.</x:v>
      </x:c>
      <x:c r="T45" s="21" t="str">
        <x:v>Chờ chốt OQ-002</x:v>
      </x:c>
      <x:c r="U45" s="20" t="n">
        <x:f>IF(AND(A45&lt;&gt;"",OR(L45="Critical",L45="High"),J45&lt;&gt;"Done"),COUNTIFS($L$5:L45,"Critical",$J$5:J45,"&lt;&gt;Done")+COUNTIFS($L$5:L45,"High",$J$5:J45,"&lt;&gt;Done"),"")</x:f>
        <x:v>39</x:v>
      </x:c>
    </x:row>
    <x:row r="46" ht="68" customHeight="1">
      <x:c r="A46" s="20" t="str">
        <x:v>TASK-042</x:v>
      </x:c>
      <x:c r="B46" s="20" t="str">
        <x:v>MOD-010</x:v>
      </x:c>
      <x:c r="C46" s="21" t="str">
        <x:v>Kết quả và công bố</x:v>
      </x:c>
      <x:c r="D46" s="21" t="str">
        <x:v>Tính, xác nhận, khóa sửa, công bố kết quả và xuất bảng điểm.</x:v>
      </x:c>
      <x:c r="E46" s="21" t="str">
        <x:v>Xuất bảng điểm</x:v>
      </x:c>
      <x:c r="F46" s="21" t="str">
        <x:v>Xuất danh sách kết quả đã được phép theo từng đợt; định dạng và quyền Giáo vụ.</x:v>
      </x:c>
      <x:c r="G46" s="21" t="str">
        <x:v>Chốt cột xuất; endpoint tải; test điểm riêng SV, số làm tròn và dữ liệu chưa công bố.</x:v>
      </x:c>
      <x:c r="H46" s="22" t="str">
        <x:v>Chưa phân công</x:v>
      </x:c>
      <x:c r="I46" s="20" t="str">
        <x:v>Fullstack</x:v>
      </x:c>
      <x:c r="J46" s="20" t="str">
        <x:v>Not Started</x:v>
      </x:c>
      <x:c r="K46" s="23" t="n">
        <x:v>0</x:v>
      </x:c>
      <x:c r="L46" s="20" t="str">
        <x:v>High</x:v>
      </x:c>
      <x:c r="M46" s="24" t="n">
        <x:v>1.5</x:v>
      </x:c>
      <x:c r="N46" s="25"/>
      <x:c r="O46" s="25"/>
      <x:c r="P46" s="20" t="str">
        <x:v>TASK-041</x:v>
      </x:c>
      <x:c r="Q46" s="21" t="str">
        <x:v>app/backend/src/Backend.Application/ (đề xuất); app/frontend/app/(protected)/giao-vu/[...slug]/page.tsx</x:v>
      </x:c>
      <x:c r="R46" s="21" t="str">
        <x:v>Tệp bảng điểm Excel</x:v>
      </x:c>
      <x:c r="S46" s="21" t="str">
        <x:v>Điểm và trạng thái khớp API; dữ liệu chưa đủ không bị coi là 0; chỉ Giáo vụ tải.</x:v>
      </x:c>
      <x:c r="T46" s="21" t="str"/>
      <x:c r="U46" s="20" t="n">
        <x:f>IF(AND(A46&lt;&gt;"",OR(L46="Critical",L46="High"),J46&lt;&gt;"Done"),COUNTIFS($L$5:L46,"Critical",$J$5:J46,"&lt;&gt;Done")+COUNTIFS($L$5:L46,"High",$J$5:J46,"&lt;&gt;Done"),"")</x:f>
        <x:v>40</x:v>
      </x:c>
    </x:row>
    <x:row r="47" ht="68" customHeight="1">
      <x:c r="A47" s="20" t="str">
        <x:v>TASK-043</x:v>
      </x:c>
      <x:c r="B47" s="20" t="str">
        <x:v>MOD-011</x:v>
      </x:c>
      <x:c r="C47" s="21" t="str">
        <x:v>Thông báo và lịch sử</x:v>
      </x:c>
      <x:c r="D47" s="21" t="str">
        <x:v>Gửi thông báo, chuông, trạng thái đọc và truy vết thao tác nghiệp vụ.</x:v>
      </x:c>
      <x:c r="E47" s="21" t="str">
        <x:v>Mô hình thông báo và sự kiện</x:v>
      </x:c>
      <x:c r="F47" s="21" t="str">
        <x:v>Thiết kế thông báo theo đợt/đề tài/người nhận và lịch sử các sự kiện quan trọng.</x:v>
      </x:c>
      <x:c r="G47" s="21" t="str">
        <x:v>Entity/migration; xác định sự kiện đăng ký, duyệt, phân công, điểm, công bố.</x:v>
      </x:c>
      <x:c r="H47" s="22" t="str">
        <x:v>Chưa phân công</x:v>
      </x:c>
      <x:c r="I47" s="20" t="str">
        <x:v>Backend/Database</x:v>
      </x:c>
      <x:c r="J47" s="20" t="str">
        <x:v>Not Started</x:v>
      </x:c>
      <x:c r="K47" s="23" t="n">
        <x:v>0</x:v>
      </x:c>
      <x:c r="L47" s="20" t="str">
        <x:v>High</x:v>
      </x:c>
      <x:c r="M47" s="24" t="n">
        <x:v>2</x:v>
      </x:c>
      <x:c r="N47" s="25"/>
      <x:c r="O47" s="25"/>
      <x:c r="P47" s="20" t="str">
        <x:v>TASK-015, TASK-020</x:v>
      </x:c>
      <x:c r="Q47" s="21" t="str">
        <x:v>app/backend/src/Backend.Domain/Entities/ (đề xuất); app/backend/src/Backend.Infrastructure/Data/ (đề xuất); docs/requirements/BUSINESS_RULES.md</x:v>
      </x:c>
      <x:c r="R47" s="21" t="str">
        <x:v>Schema thông báo/lịch sử</x:v>
      </x:c>
      <x:c r="S47" s="21" t="str">
        <x:v>Mọi thay đổi trọng yếu có tác giả/thời điểm/đối tượng; truy được sau reload.</x:v>
      </x:c>
      <x:c r="T47" s="21" t="str"/>
      <x:c r="U47" s="20" t="n">
        <x:f>IF(AND(A47&lt;&gt;"",OR(L47="Critical",L47="High"),J47&lt;&gt;"Done"),COUNTIFS($L$5:L47,"Critical",$J$5:J47,"&lt;&gt;Done")+COUNTIFS($L$5:L47,"High",$J$5:J47,"&lt;&gt;Done"),"")</x:f>
        <x:v>41</x:v>
      </x:c>
    </x:row>
    <x:row r="48" ht="68" customHeight="1">
      <x:c r="A48" s="20" t="str">
        <x:v>TASK-044</x:v>
      </x:c>
      <x:c r="B48" s="20" t="str">
        <x:v>MOD-011</x:v>
      </x:c>
      <x:c r="C48" s="21" t="str">
        <x:v>Thông báo và lịch sử</x:v>
      </x:c>
      <x:c r="D48" s="21" t="str">
        <x:v>Gửi thông báo, chuông, trạng thái đọc và truy vết thao tác nghiệp vụ.</x:v>
      </x:c>
      <x:c r="E48" s="21" t="str">
        <x:v>API gửi và đọc thông báo</x:v>
      </x:c>
      <x:c r="F48" s="21" t="str">
        <x:v>GV gửi cho nhóm hướng dẫn, Giáo vụ gửi theo đợt/đối tượng; danh sách lọc/tìm có kiểm quyền.</x:v>
      </x:c>
      <x:c r="G48" s="21" t="str">
        <x:v>API có transaction; kết nối roundService.listNotifications; test scope và phân trang.</x:v>
      </x:c>
      <x:c r="H48" s="22" t="str">
        <x:v>Chưa phân công</x:v>
      </x:c>
      <x:c r="I48" s="20" t="str">
        <x:v>Fullstack</x:v>
      </x:c>
      <x:c r="J48" s="20" t="str">
        <x:v>Not Started</x:v>
      </x:c>
      <x:c r="K48" s="23" t="n">
        <x:v>0</x:v>
      </x:c>
      <x:c r="L48" s="20" t="str">
        <x:v>High</x:v>
      </x:c>
      <x:c r="M48" s="24" t="n">
        <x:v>2</x:v>
      </x:c>
      <x:c r="N48" s="25"/>
      <x:c r="O48" s="25"/>
      <x:c r="P48" s="20" t="str">
        <x:v>TASK-043</x:v>
      </x:c>
      <x:c r="Q48" s="21" t="str">
        <x:v>app/frontend/src/features/rounds/services/roundService.ts; app/backend/src/Backend.API/Controllers/ (đề xuất); app/backend/src/Backend.Application/ (đề xuất)</x:v>
      </x:c>
      <x:c r="R48" s="21" t="str">
        <x:v>Thông báo lưu bền vững</x:v>
      </x:c>
      <x:c r="S48" s="21" t="str">
        <x:v>Chỉ người nhận xem; sender đúng; lọc/tìm và thứ tự mới nhất hoạt động.</x:v>
      </x:c>
      <x:c r="T48" s="21" t="str"/>
      <x:c r="U48" s="20" t="n">
        <x:f>IF(AND(A48&lt;&gt;"",OR(L48="Critical",L48="High"),J48&lt;&gt;"Done"),COUNTIFS($L$5:L48,"Critical",$J$5:J48,"&lt;&gt;Done")+COUNTIFS($L$5:L48,"High",$J$5:J48,"&lt;&gt;Done"),"")</x:f>
        <x:v>42</x:v>
      </x:c>
    </x:row>
    <x:row r="49" ht="68" customHeight="1">
      <x:c r="A49" s="20" t="str">
        <x:v>TASK-045</x:v>
      </x:c>
      <x:c r="B49" s="20" t="str">
        <x:v>MOD-011</x:v>
      </x:c>
      <x:c r="C49" s="21" t="str">
        <x:v>Thông báo và lịch sử</x:v>
      </x:c>
      <x:c r="D49" s="21" t="str">
        <x:v>Gửi thông báo, chuông, trạng thái đọc và truy vết thao tác nghiệp vụ.</x:v>
      </x:c>
      <x:c r="E49" s="21" t="str">
        <x:v>Chuông và trạng thái đã đọc</x:v>
      </x:c>
      <x:c r="F49" s="21" t="str">
        <x:v>Hiển thị thông báo tự động/được gửi, lọc chưa đọc, đánh dấu đã đọc cho từng người.</x:v>
      </x:c>
      <x:c r="G49" s="21" t="str">
        <x:v>API trạng thái người nhận; component trên AppShell; test số chưa đọc.</x:v>
      </x:c>
      <x:c r="H49" s="22" t="str">
        <x:v>Chưa phân công</x:v>
      </x:c>
      <x:c r="I49" s="20" t="str">
        <x:v>Fullstack</x:v>
      </x:c>
      <x:c r="J49" s="20" t="str">
        <x:v>Not Started</x:v>
      </x:c>
      <x:c r="K49" s="23" t="n">
        <x:v>0</x:v>
      </x:c>
      <x:c r="L49" s="20" t="str">
        <x:v>Medium</x:v>
      </x:c>
      <x:c r="M49" s="24" t="n">
        <x:v>1.5</x:v>
      </x:c>
      <x:c r="N49" s="25"/>
      <x:c r="O49" s="25"/>
      <x:c r="P49" s="20" t="str">
        <x:v>TASK-044</x:v>
      </x:c>
      <x:c r="Q49" s="21" t="str">
        <x:v>app/frontend/src/features/navigation/components/AppShell.tsx; app/backend/src/Backend.Application/ (đề xuất)</x:v>
      </x:c>
      <x:c r="R49" s="21" t="str">
        <x:v>Chuông thông báo thật</x:v>
      </x:c>
      <x:c r="S49" s="21" t="str">
        <x:v>Số chưa đọc cập nhật sau đánh dấu; không thay trạng thái người khác.</x:v>
      </x:c>
      <x:c r="T49" s="21" t="str"/>
      <x:c r="U49" s="20" t="str">
        <x:f>IF(AND(A49&lt;&gt;"",OR(L49="Critical",L49="High"),J49&lt;&gt;"Done"),COUNTIFS($L$5:L49,"Critical",$J$5:J49,"&lt;&gt;Done")+COUNTIFS($L$5:L49,"High",$J$5:J49,"&lt;&gt;Done"),"")</x:f>
      </x:c>
    </x:row>
    <x:row r="50" ht="68" customHeight="1">
      <x:c r="A50" s="20" t="str">
        <x:v>TASK-046</x:v>
      </x:c>
      <x:c r="B50" s="20" t="str">
        <x:v>MOD-011</x:v>
      </x:c>
      <x:c r="C50" s="21" t="str">
        <x:v>Thông báo và lịch sử</x:v>
      </x:c>
      <x:c r="D50" s="21" t="str">
        <x:v>Gửi thông báo, chuông, trạng thái đọc và truy vết thao tác nghiệp vụ.</x:v>
      </x:c>
      <x:c r="E50" s="21" t="str">
        <x:v>Trang lịch sử đề tài</x:v>
      </x:c>
      <x:c r="F50" s="21" t="str">
        <x:v>Hiển thị timeline lọc theo đợt/trạng thái cho GV và Giáo vụ từ sự kiện backend.</x:v>
      </x:c>
      <x:c r="G50" s="21" t="str">
        <x:v>API query theo quyền; màn GV/Giáo vụ; test dữ liệu, phân trang.</x:v>
      </x:c>
      <x:c r="H50" s="22" t="str">
        <x:v>Chưa phân công</x:v>
      </x:c>
      <x:c r="I50" s="20" t="str">
        <x:v>Fullstack</x:v>
      </x:c>
      <x:c r="J50" s="20" t="str">
        <x:v>Not Started</x:v>
      </x:c>
      <x:c r="K50" s="23" t="n">
        <x:v>0</x:v>
      </x:c>
      <x:c r="L50" s="20" t="str">
        <x:v>Medium</x:v>
      </x:c>
      <x:c r="M50" s="24" t="n">
        <x:v>1.5</x:v>
      </x:c>
      <x:c r="N50" s="25"/>
      <x:c r="O50" s="25"/>
      <x:c r="P50" s="20" t="str">
        <x:v>TASK-043, TASK-021</x:v>
      </x:c>
      <x:c r="Q50" s="21" t="str">
        <x:v>app/frontend/app/(protected)/gv/[...slug]/page.tsx; app/frontend/app/(protected)/giao-vu/[...slug]/page.tsx</x:v>
      </x:c>
      <x:c r="R50" s="21" t="str">
        <x:v>Lịch sử theo đề tài</x:v>
      </x:c>
      <x:c r="S50" s="21" t="str">
        <x:v>Mốc thời gian khớp thao tác thật; người không có quyền không thấy nội dung.</x:v>
      </x:c>
      <x:c r="T50" s="21" t="str"/>
      <x:c r="U50" s="20" t="str">
        <x:f>IF(AND(A50&lt;&gt;"",OR(L50="Critical",L50="High"),J50&lt;&gt;"Done"),COUNTIFS($L$5:L50,"Critical",$J$5:J50,"&lt;&gt;Done")+COUNTIFS($L$5:L50,"High",$J$5:J50,"&lt;&gt;Done"),"")</x:f>
      </x:c>
    </x:row>
    <x:row r="51" ht="68" customHeight="1">
      <x:c r="A51" s="20" t="str">
        <x:v>TASK-047</x:v>
      </x:c>
      <x:c r="B51" s="20" t="str">
        <x:v>MOD-012</x:v>
      </x:c>
      <x:c r="C51" s="21" t="str">
        <x:v>Trang chủ, thống kê và kiểm chứng</x:v>
      </x:c>
      <x:c r="D51" s="21" t="str">
        <x:v>Trang chủ theo vai trò, thống kê; kiểm thử luồng tích hợp và triển khai có kiểm soát.</x:v>
      </x:c>
      <x:c r="E51" s="21" t="str">
        <x:v>Trang chủ theo vai trò từ dữ liệu thật</x:v>
      </x:c>
      <x:c r="F51" s="21" t="str">
        <x:v>Thẻ đợt, việc cần làm, bảng thông báo và Gantt dùng dữ liệu theo người dùng/đợt, bỏ seed cố định.</x:v>
      </x:c>
      <x:c r="G51" s="21" t="str">
        <x:v>API tổng hợp cần thiết; nối RoundHomePage; test ba vai trò và trạng thái trống.</x:v>
      </x:c>
      <x:c r="H51" s="22" t="str">
        <x:v>Chưa phân công</x:v>
      </x:c>
      <x:c r="I51" s="20" t="str">
        <x:v>Fullstack</x:v>
      </x:c>
      <x:c r="J51" s="20" t="str">
        <x:v>Not Started</x:v>
      </x:c>
      <x:c r="K51" s="23" t="n">
        <x:v>0</x:v>
      </x:c>
      <x:c r="L51" s="20" t="str">
        <x:v>High</x:v>
      </x:c>
      <x:c r="M51" s="24" t="n">
        <x:v>2</x:v>
      </x:c>
      <x:c r="N51" s="25"/>
      <x:c r="O51" s="25"/>
      <x:c r="P51" s="20" t="str">
        <x:v>TASK-019, TASK-044</x:v>
      </x:c>
      <x:c r="Q51" s="21" t="str">
        <x:v>app/frontend/src/features/rounds/components/RoundHomePage.tsx; app/frontend/src/features/rounds/services/roundSeed.ts; app/backend/src/Backend.Application/ (đề xuất)</x:v>
      </x:c>
      <x:c r="R51" s="21" t="str">
        <x:v>Trang chủ thật</x:v>
      </x:c>
      <x:c r="S51" s="21" t="str">
        <x:v>SV/GV chỉ thấy đợt được tham gia; ngày không cố định 2026-10-26; reload nhất quán.</x:v>
      </x:c>
      <x:c r="T51" s="21" t="str"/>
      <x:c r="U51" s="20" t="n">
        <x:f>IF(AND(A51&lt;&gt;"",OR(L51="Critical",L51="High"),J51&lt;&gt;"Done"),COUNTIFS($L$5:L51,"Critical",$J$5:J51,"&lt;&gt;Done")+COUNTIFS($L$5:L51,"High",$J$5:J51,"&lt;&gt;Done"),"")</x:f>
        <x:v>43</x:v>
      </x:c>
    </x:row>
    <x:row r="52" ht="68" customHeight="1">
      <x:c r="A52" s="20" t="str">
        <x:v>TASK-048</x:v>
      </x:c>
      <x:c r="B52" s="20" t="str">
        <x:v>MOD-012</x:v>
      </x:c>
      <x:c r="C52" s="21" t="str">
        <x:v>Trang chủ, thống kê và kiểm chứng</x:v>
      </x:c>
      <x:c r="D52" s="21" t="str">
        <x:v>Trang chủ theo vai trò, thống kê; kiểm thử luồng tích hợp và triển khai có kiểm soát.</x:v>
      </x:c>
      <x:c r="E52" s="21" t="str">
        <x:v>Thống kê Giáo vụ theo đợt</x:v>
      </x:c>
      <x:c r="F52" s="21" t="str">
        <x:v>Tổng hợp đề tài theo trạng thái, tiến độ chặng, số đề tài GV và phân bố điểm từ dữ liệu thật.</x:v>
      </x:c>
      <x:c r="G52" s="21" t="str">
        <x:v>Chốt định nghĩa chỉ số; query backend; màn thống kê; test với dữ liệu thiếu và nhiều đợt.</x:v>
      </x:c>
      <x:c r="H52" s="22" t="str">
        <x:v>Chưa phân công</x:v>
      </x:c>
      <x:c r="I52" s="20" t="str">
        <x:v>Fullstack</x:v>
      </x:c>
      <x:c r="J52" s="20" t="str">
        <x:v>Not Started</x:v>
      </x:c>
      <x:c r="K52" s="23" t="n">
        <x:v>0</x:v>
      </x:c>
      <x:c r="L52" s="20" t="str">
        <x:v>Medium</x:v>
      </x:c>
      <x:c r="M52" s="24" t="n">
        <x:v>2</x:v>
      </x:c>
      <x:c r="N52" s="25"/>
      <x:c r="O52" s="25"/>
      <x:c r="P52" s="20" t="str">
        <x:v>TASK-024, TASK-038</x:v>
      </x:c>
      <x:c r="Q52" s="21" t="str">
        <x:v>app/frontend/app/(protected)/giao-vu/[...slug]/page.tsx; app/backend/src/Backend.Application/ (đề xuất)</x:v>
      </x:c>
      <x:c r="R52" s="21" t="str">
        <x:v>Thống kê có truy nguồn</x:v>
      </x:c>
      <x:c r="S52" s="21" t="str">
        <x:v>Mọi số khớp dữ liệu gốc theo đợt; chưa có điểm không tính thành 0.</x:v>
      </x:c>
      <x:c r="T52" s="21" t="str"/>
      <x:c r="U52" s="20" t="str">
        <x:f>IF(AND(A52&lt;&gt;"",OR(L52="Critical",L52="High"),J52&lt;&gt;"Done"),COUNTIFS($L$5:L52,"Critical",$J$5:J52,"&lt;&gt;Done")+COUNTIFS($L$5:L52,"High",$J$5:J52,"&lt;&gt;Done"),"")</x:f>
      </x:c>
    </x:row>
    <x:row r="53" ht="68" customHeight="1">
      <x:c r="A53" s="20" t="str">
        <x:v>TASK-049</x:v>
      </x:c>
      <x:c r="B53" s="20" t="str">
        <x:v>MOD-012</x:v>
      </x:c>
      <x:c r="C53" s="21" t="str">
        <x:v>Trang chủ, thống kê và kiểm chứng</x:v>
      </x:c>
      <x:c r="D53" s="21" t="str">
        <x:v>Trang chủ theo vai trò, thống kê; kiểm thử luồng tích hợp và triển khai có kiểm soát.</x:v>
      </x:c>
      <x:c r="E53" s="21" t="str">
        <x:v>Kiểm thử tích hợp luồng khóa luận</x:v>
      </x:c>
      <x:c r="F53" s="21" t="str">
        <x:v>Kiểm thử từ tạo đợt đến công bố với 3 vai trò, dữ liệu thật và điều kiện cạnh tranh.</x:v>
      </x:c>
      <x:c r="G53" s="21" t="str">
        <x:v>Chạy test backend/frontend; bổ sung case 401/403, đăng ký đồng thời, phiên bản, đủ điểm, công bố.</x:v>
      </x:c>
      <x:c r="H53" s="22" t="str">
        <x:v>Chưa phân công</x:v>
      </x:c>
      <x:c r="I53" s="20" t="str">
        <x:v>QA/Fullstack</x:v>
      </x:c>
      <x:c r="J53" s="20" t="str">
        <x:v>Not Started</x:v>
      </x:c>
      <x:c r="K53" s="23" t="n">
        <x:v>0</x:v>
      </x:c>
      <x:c r="L53" s="20" t="str">
        <x:v>Critical</x:v>
      </x:c>
      <x:c r="M53" s="24" t="n">
        <x:v>2</x:v>
      </x:c>
      <x:c r="N53" s="25"/>
      <x:c r="O53" s="25"/>
      <x:c r="P53" s="20" t="str">
        <x:v>TASK-041, TASK-047</x:v>
      </x:c>
      <x:c r="Q53" s="21" t="str">
        <x:v>app/backend/tests/Backend.Tests/; app/frontend/src/features/**/*.test.ts(x) (đề xuất)</x:v>
      </x:c>
      <x:c r="R53" s="21" t="str">
        <x:v>Bộ kiểm thử luồng chính</x:v>
      </x:c>
      <x:c r="S53" s="21" t="str">
        <x:v>Các luồng chính và ngoại lệ được kiểm chứng; lỗi ghi thành task sửa riêng.</x:v>
      </x:c>
      <x:c r="T53" s="21" t="str"/>
      <x:c r="U53" s="20" t="n">
        <x:f>IF(AND(A53&lt;&gt;"",OR(L53="Critical",L53="High"),J53&lt;&gt;"Done"),COUNTIFS($L$5:L53,"Critical",$J$5:J53,"&lt;&gt;Done")+COUNTIFS($L$5:L53,"High",$J$5:J53,"&lt;&gt;Done"),"")</x:f>
        <x:v>44</x:v>
      </x:c>
    </x:row>
    <x:row r="54" ht="68" customHeight="1">
      <x:c r="A54" s="20" t="str">
        <x:v>TASK-050</x:v>
      </x:c>
      <x:c r="B54" s="20" t="str">
        <x:v>MOD-012</x:v>
      </x:c>
      <x:c r="C54" s="21" t="str">
        <x:v>Trang chủ, thống kê và kiểm chứng</x:v>
      </x:c>
      <x:c r="D54" s="21" t="str">
        <x:v>Trang chủ theo vai trò, thống kê; kiểm thử luồng tích hợp và triển khai có kiểm soát.</x:v>
      </x:c>
      <x:c r="E54" s="21" t="str">
        <x:v>Rà migration, bảo mật và CI</x:v>
      </x:c>
      <x:c r="F54" s="21" t="str">
        <x:v>Rà SQL migration, secrets, quyền backend, upload, test/build và cấu hình deploy trước khi triển khai.</x:v>
      </x:c>
      <x:c r="G54" s="21" t="str">
        <x:v>Chạy kiểm tra CI phù hợp; kiểm nhánh DB; xác nhận OQ-007; ghi checklist triển khai.</x:v>
      </x:c>
      <x:c r="H54" s="22" t="str">
        <x:v>Chưa phân công</x:v>
      </x:c>
      <x:c r="I54" s="20" t="str">
        <x:v>QA/DevOps</x:v>
      </x:c>
      <x:c r="J54" s="20" t="str">
        <x:v>Blocked</x:v>
      </x:c>
      <x:c r="K54" s="23" t="n">
        <x:v>0</x:v>
      </x:c>
      <x:c r="L54" s="20" t="str">
        <x:v>High</x:v>
      </x:c>
      <x:c r="M54" s="24" t="n">
        <x:v>2</x:v>
      </x:c>
      <x:c r="N54" s="25"/>
      <x:c r="O54" s="25"/>
      <x:c r="P54" s="20" t="str">
        <x:v>TASK-004, TASK-049</x:v>
      </x:c>
      <x:c r="Q54" s="21" t="str">
        <x:v>app/backend/src/Backend.Infrastructure/Data/Migrations/; .github/workflows/ci.yml; app/compose.yaml; app/compose.neon.yaml</x:v>
      </x:c>
      <x:c r="R54" s="21" t="str">
        <x:v>Hồ sơ sẵn sàng triển khai</x:v>
      </x:c>
      <x:c r="S54" s="21" t="str">
        <x:v>CI đạt; không chạy migration trên DB chung để thử; có phương án backup/rollback đã chốt.</x:v>
      </x:c>
      <x:c r="T54" s="21" t="str">
        <x:v>Chờ chốt OQ-007</x:v>
      </x:c>
      <x:c r="U54" s="20" t="n">
        <x:f>IF(AND(A54&lt;&gt;"",OR(L54="Critical",L54="High"),J54&lt;&gt;"Done"),COUNTIFS($L$5:L54,"Critical",$J$5:J54,"&lt;&gt;Done")+COUNTIFS($L$5:L54,"High",$J$5:J54,"&lt;&gt;Done"),"")</x:f>
        <x:v>45</x:v>
      </x:c>
    </x:row>
    <x:row r="55">
      <x:c r="A55" s="1"/>
      <x:c r="B55" s="1"/>
      <x:c r="C55" s="1"/>
      <x:c r="D55" s="1"/>
      <x:c r="E55" s="1"/>
      <x:c r="F55" s="1"/>
      <x:c r="G55" s="1"/>
      <x:c r="H55" s="15"/>
      <x:c r="I55" s="1"/>
      <x:c r="J55" s="1"/>
      <x:c r="K55" s="9"/>
      <x:c r="L55" s="1"/>
      <x:c r="M55" s="11"/>
      <x:c r="N55" s="17"/>
      <x:c r="O55" s="17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5"/>
      <x:c r="I56" s="1"/>
      <x:c r="J56" s="1"/>
      <x:c r="K56" s="9"/>
      <x:c r="L56" s="1"/>
      <x:c r="M56" s="11"/>
      <x:c r="N56" s="17"/>
      <x:c r="O56" s="17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5"/>
      <x:c r="I57" s="1"/>
      <x:c r="J57" s="1"/>
      <x:c r="K57" s="9"/>
      <x:c r="L57" s="1"/>
      <x:c r="M57" s="11"/>
      <x:c r="N57" s="17"/>
      <x:c r="O57" s="17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5"/>
      <x:c r="I58" s="1"/>
      <x:c r="J58" s="1"/>
      <x:c r="K58" s="9"/>
      <x:c r="L58" s="1"/>
      <x:c r="M58" s="11"/>
      <x:c r="N58" s="17"/>
      <x:c r="O58" s="17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5"/>
      <x:c r="I59" s="1"/>
      <x:c r="J59" s="1"/>
      <x:c r="K59" s="9"/>
      <x:c r="L59" s="1"/>
      <x:c r="M59" s="11"/>
      <x:c r="N59" s="17"/>
      <x:c r="O59" s="17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5"/>
      <x:c r="I60" s="1"/>
      <x:c r="J60" s="1"/>
      <x:c r="K60" s="9"/>
      <x:c r="L60" s="1"/>
      <x:c r="M60" s="11"/>
      <x:c r="N60" s="17"/>
      <x:c r="O60" s="17"/>
      <x:c r="P60" s="1"/>
      <x:c r="Q60" s="1"/>
      <x:c r="R60" s="1"/>
      <x:c r="S60" s="1"/>
      <x:c r="T60" s="1"/>
      <x:c r="U60" s="1"/>
    </x:row>
    <x:row r="61">
      <x:c r="H61" s="16"/>
      <x:c r="K61" s="10"/>
      <x:c r="M61" s="12"/>
      <x:c r="N61" s="18"/>
      <x:c r="O61" s="18"/>
    </x:row>
    <x:row r="62">
      <x:c r="H62" s="16"/>
      <x:c r="K62" s="10"/>
      <x:c r="M62" s="12"/>
      <x:c r="N62" s="18"/>
      <x:c r="O62" s="18"/>
    </x:row>
    <x:row r="63">
      <x:c r="H63" s="16"/>
      <x:c r="K63" s="10"/>
      <x:c r="M63" s="12"/>
      <x:c r="N63" s="18"/>
      <x:c r="O63" s="18"/>
    </x:row>
    <x:row r="64">
      <x:c r="H64" s="16"/>
      <x:c r="K64" s="10"/>
      <x:c r="M64" s="12"/>
      <x:c r="N64" s="18"/>
      <x:c r="O64" s="18"/>
    </x:row>
    <x:row r="65">
      <x:c r="H65" s="16"/>
      <x:c r="K65" s="10"/>
      <x:c r="M65" s="12"/>
      <x:c r="N65" s="18"/>
      <x:c r="O65" s="18"/>
    </x:row>
    <x:row r="66">
      <x:c r="H66" s="16"/>
      <x:c r="K66" s="10"/>
      <x:c r="M66" s="12"/>
      <x:c r="N66" s="18"/>
      <x:c r="O66" s="18"/>
    </x:row>
    <x:row r="67">
      <x:c r="H67" s="16"/>
      <x:c r="K67" s="10"/>
      <x:c r="M67" s="12"/>
      <x:c r="N67" s="18"/>
      <x:c r="O67" s="18"/>
    </x:row>
    <x:row r="68">
      <x:c r="H68" s="16"/>
      <x:c r="K68" s="10"/>
      <x:c r="M68" s="12"/>
      <x:c r="N68" s="18"/>
      <x:c r="O68" s="18"/>
    </x:row>
    <x:row r="69">
      <x:c r="H69" s="16"/>
      <x:c r="K69" s="10"/>
      <x:c r="M69" s="12"/>
      <x:c r="N69" s="18"/>
      <x:c r="O69" s="18"/>
    </x:row>
    <x:row r="70">
      <x:c r="H70" s="16"/>
      <x:c r="K70" s="10"/>
      <x:c r="M70" s="12"/>
      <x:c r="N70" s="18"/>
      <x:c r="O70" s="18"/>
    </x:row>
    <x:row r="71">
      <x:c r="H71" s="16"/>
      <x:c r="K71" s="10"/>
      <x:c r="M71" s="12"/>
      <x:c r="N71" s="18"/>
      <x:c r="O71" s="18"/>
    </x:row>
    <x:row r="72">
      <x:c r="H72" s="16"/>
      <x:c r="K72" s="10"/>
      <x:c r="M72" s="12"/>
      <x:c r="N72" s="18"/>
      <x:c r="O72" s="18"/>
    </x:row>
    <x:row r="73">
      <x:c r="H73" s="16"/>
      <x:c r="K73" s="10"/>
      <x:c r="M73" s="12"/>
      <x:c r="N73" s="18"/>
      <x:c r="O73" s="18"/>
    </x:row>
    <x:row r="74">
      <x:c r="H74" s="16"/>
      <x:c r="K74" s="10"/>
      <x:c r="M74" s="12"/>
      <x:c r="N74" s="18"/>
      <x:c r="O74" s="18"/>
    </x:row>
    <x:row r="75">
      <x:c r="H75" s="16"/>
      <x:c r="K75" s="10"/>
      <x:c r="M75" s="12"/>
      <x:c r="N75" s="18"/>
      <x:c r="O75" s="18"/>
    </x:row>
    <x:row r="76">
      <x:c r="H76" s="16"/>
      <x:c r="K76" s="10"/>
      <x:c r="M76" s="12"/>
      <x:c r="N76" s="18"/>
      <x:c r="O76" s="18"/>
    </x:row>
    <x:row r="77">
      <x:c r="H77" s="16"/>
      <x:c r="K77" s="10"/>
      <x:c r="M77" s="12"/>
      <x:c r="N77" s="18"/>
      <x:c r="O77" s="18"/>
    </x:row>
    <x:row r="78">
      <x:c r="H78" s="16"/>
      <x:c r="K78" s="10"/>
      <x:c r="M78" s="12"/>
      <x:c r="N78" s="18"/>
      <x:c r="O78" s="18"/>
    </x:row>
    <x:row r="79">
      <x:c r="H79" s="16"/>
      <x:c r="K79" s="10"/>
      <x:c r="M79" s="12"/>
      <x:c r="N79" s="18"/>
      <x:c r="O79" s="18"/>
    </x:row>
    <x:row r="80">
      <x:c r="H80" s="16"/>
      <x:c r="K80" s="10"/>
      <x:c r="M80" s="12"/>
      <x:c r="N80" s="18"/>
      <x:c r="O80" s="18"/>
    </x:row>
    <x:row r="81">
      <x:c r="H81" s="16"/>
      <x:c r="K81" s="10"/>
      <x:c r="M81" s="12"/>
      <x:c r="N81" s="18"/>
      <x:c r="O81" s="18"/>
    </x:row>
    <x:row r="82">
      <x:c r="H82" s="16"/>
      <x:c r="K82" s="10"/>
      <x:c r="M82" s="12"/>
      <x:c r="N82" s="18"/>
      <x:c r="O82" s="18"/>
    </x:row>
    <x:row r="83">
      <x:c r="H83" s="16"/>
      <x:c r="K83" s="10"/>
      <x:c r="M83" s="12"/>
      <x:c r="N83" s="18"/>
      <x:c r="O83" s="18"/>
    </x:row>
    <x:row r="84">
      <x:c r="H84" s="16"/>
      <x:c r="K84" s="10"/>
      <x:c r="M84" s="12"/>
      <x:c r="N84" s="18"/>
      <x:c r="O84" s="18"/>
    </x:row>
    <x:row r="85">
      <x:c r="H85" s="16"/>
      <x:c r="K85" s="10"/>
      <x:c r="M85" s="12"/>
      <x:c r="N85" s="18"/>
      <x:c r="O85" s="18"/>
    </x:row>
    <x:row r="86">
      <x:c r="H86" s="16"/>
      <x:c r="K86" s="10"/>
      <x:c r="M86" s="12"/>
      <x:c r="N86" s="18"/>
      <x:c r="O86" s="18"/>
    </x:row>
    <x:row r="87">
      <x:c r="H87" s="16"/>
      <x:c r="K87" s="10"/>
      <x:c r="M87" s="12"/>
      <x:c r="N87" s="18"/>
      <x:c r="O87" s="18"/>
    </x:row>
    <x:row r="88">
      <x:c r="H88" s="16"/>
      <x:c r="K88" s="10"/>
      <x:c r="M88" s="12"/>
      <x:c r="N88" s="18"/>
      <x:c r="O88" s="18"/>
    </x:row>
    <x:row r="89">
      <x:c r="H89" s="16"/>
      <x:c r="K89" s="10"/>
      <x:c r="M89" s="12"/>
      <x:c r="N89" s="18"/>
      <x:c r="O89" s="18"/>
    </x:row>
    <x:row r="90">
      <x:c r="H90" s="16"/>
      <x:c r="K90" s="10"/>
      <x:c r="M90" s="12"/>
      <x:c r="N90" s="18"/>
      <x:c r="O90" s="18"/>
    </x:row>
    <x:row r="91">
      <x:c r="H91" s="16"/>
      <x:c r="K91" s="10"/>
      <x:c r="M91" s="12"/>
      <x:c r="N91" s="18"/>
      <x:c r="O91" s="18"/>
    </x:row>
    <x:row r="92">
      <x:c r="H92" s="16"/>
      <x:c r="K92" s="10"/>
      <x:c r="M92" s="12"/>
      <x:c r="N92" s="18"/>
      <x:c r="O92" s="18"/>
    </x:row>
    <x:row r="93">
      <x:c r="H93" s="16"/>
      <x:c r="K93" s="10"/>
      <x:c r="M93" s="12"/>
      <x:c r="N93" s="18"/>
      <x:c r="O93" s="18"/>
    </x:row>
    <x:row r="94">
      <x:c r="H94" s="16"/>
      <x:c r="K94" s="10"/>
      <x:c r="M94" s="12"/>
      <x:c r="N94" s="18"/>
      <x:c r="O94" s="18"/>
    </x:row>
    <x:row r="95">
      <x:c r="H95" s="16"/>
      <x:c r="K95" s="10"/>
      <x:c r="M95" s="12"/>
      <x:c r="N95" s="18"/>
      <x:c r="O95" s="18"/>
    </x:row>
    <x:row r="96">
      <x:c r="H96" s="16"/>
      <x:c r="K96" s="10"/>
      <x:c r="M96" s="12"/>
      <x:c r="N96" s="18"/>
      <x:c r="O96" s="18"/>
    </x:row>
    <x:row r="97">
      <x:c r="H97" s="16"/>
      <x:c r="K97" s="10"/>
      <x:c r="M97" s="12"/>
      <x:c r="N97" s="18"/>
      <x:c r="O97" s="18"/>
    </x:row>
    <x:row r="98">
      <x:c r="H98" s="16"/>
      <x:c r="K98" s="10"/>
      <x:c r="M98" s="12"/>
      <x:c r="N98" s="18"/>
      <x:c r="O98" s="18"/>
    </x:row>
    <x:row r="99">
      <x:c r="H99" s="16"/>
      <x:c r="K99" s="10"/>
      <x:c r="M99" s="12"/>
      <x:c r="N99" s="18"/>
      <x:c r="O99" s="18"/>
    </x:row>
    <x:row r="100">
      <x:c r="H100" s="16"/>
      <x:c r="K100" s="10"/>
      <x:c r="M100" s="12"/>
      <x:c r="N100" s="18"/>
      <x:c r="O100" s="18"/>
    </x:row>
    <x:row r="101">
      <x:c r="H101" s="16"/>
      <x:c r="K101" s="10"/>
      <x:c r="M101" s="12"/>
      <x:c r="N101" s="18"/>
      <x:c r="O101" s="18"/>
    </x:row>
    <x:row r="102">
      <x:c r="H102" s="16"/>
      <x:c r="K102" s="10"/>
      <x:c r="M102" s="12"/>
      <x:c r="N102" s="18"/>
      <x:c r="O102" s="18"/>
    </x:row>
    <x:row r="103">
      <x:c r="H103" s="16"/>
      <x:c r="K103" s="10"/>
      <x:c r="M103" s="12"/>
      <x:c r="N103" s="18"/>
      <x:c r="O103" s="18"/>
    </x:row>
    <x:row r="104">
      <x:c r="H104" s="16"/>
      <x:c r="K104" s="10"/>
      <x:c r="M104" s="12"/>
      <x:c r="N104" s="18"/>
      <x:c r="O104" s="18"/>
    </x:row>
    <x:row r="105">
      <x:c r="H105" s="16"/>
      <x:c r="K105" s="10"/>
      <x:c r="M105" s="12"/>
      <x:c r="N105" s="18"/>
      <x:c r="O105" s="18"/>
    </x:row>
    <x:row r="106">
      <x:c r="H106" s="16"/>
      <x:c r="K106" s="10"/>
      <x:c r="M106" s="12"/>
      <x:c r="N106" s="18"/>
      <x:c r="O106" s="18"/>
    </x:row>
    <x:row r="107">
      <x:c r="H107" s="16"/>
      <x:c r="K107" s="10"/>
      <x:c r="M107" s="12"/>
      <x:c r="N107" s="18"/>
      <x:c r="O107" s="18"/>
    </x:row>
    <x:row r="108">
      <x:c r="H108" s="16"/>
      <x:c r="K108" s="10"/>
      <x:c r="M108" s="12"/>
      <x:c r="N108" s="18"/>
      <x:c r="O108" s="18"/>
    </x:row>
    <x:row r="109">
      <x:c r="H109" s="16"/>
      <x:c r="K109" s="10"/>
      <x:c r="M109" s="12"/>
      <x:c r="N109" s="18"/>
      <x:c r="O109" s="18"/>
    </x:row>
    <x:row r="110">
      <x:c r="H110" s="16"/>
      <x:c r="K110" s="10"/>
      <x:c r="M110" s="12"/>
      <x:c r="N110" s="18"/>
      <x:c r="O110" s="18"/>
    </x:row>
    <x:row r="111">
      <x:c r="H111" s="16"/>
      <x:c r="K111" s="10"/>
      <x:c r="M111" s="12"/>
      <x:c r="N111" s="18"/>
      <x:c r="O111" s="18"/>
    </x:row>
    <x:row r="112">
      <x:c r="H112" s="16"/>
      <x:c r="K112" s="10"/>
      <x:c r="M112" s="12"/>
      <x:c r="N112" s="18"/>
      <x:c r="O112" s="18"/>
    </x:row>
    <x:row r="113">
      <x:c r="H113" s="16"/>
      <x:c r="K113" s="10"/>
      <x:c r="M113" s="12"/>
      <x:c r="N113" s="18"/>
      <x:c r="O113" s="18"/>
    </x:row>
    <x:row r="114">
      <x:c r="H114" s="16"/>
      <x:c r="K114" s="10"/>
      <x:c r="M114" s="12"/>
      <x:c r="N114" s="18"/>
      <x:c r="O114" s="18"/>
    </x:row>
    <x:row r="115">
      <x:c r="H115" s="16"/>
      <x:c r="K115" s="10"/>
      <x:c r="M115" s="12"/>
      <x:c r="N115" s="18"/>
      <x:c r="O115" s="18"/>
    </x:row>
    <x:row r="116">
      <x:c r="H116" s="16"/>
      <x:c r="K116" s="10"/>
      <x:c r="M116" s="12"/>
      <x:c r="N116" s="18"/>
      <x:c r="O116" s="18"/>
    </x:row>
    <x:row r="117">
      <x:c r="H117" s="16"/>
      <x:c r="K117" s="10"/>
      <x:c r="M117" s="12"/>
      <x:c r="N117" s="18"/>
      <x:c r="O117" s="18"/>
    </x:row>
    <x:row r="118">
      <x:c r="H118" s="16"/>
      <x:c r="K118" s="10"/>
      <x:c r="M118" s="12"/>
      <x:c r="N118" s="18"/>
      <x:c r="O118" s="18"/>
    </x:row>
    <x:row r="119">
      <x:c r="H119" s="16"/>
      <x:c r="K119" s="10"/>
      <x:c r="M119" s="12"/>
      <x:c r="N119" s="18"/>
      <x:c r="O119" s="18"/>
    </x:row>
    <x:row r="120">
      <x:c r="H120" s="16"/>
      <x:c r="K120" s="10"/>
      <x:c r="M120" s="12"/>
      <x:c r="N120" s="18"/>
      <x:c r="O120" s="18"/>
    </x:row>
    <x:row r="121">
      <x:c r="H121" s="16"/>
      <x:c r="K121" s="10"/>
      <x:c r="M121" s="12"/>
      <x:c r="N121" s="18"/>
      <x:c r="O121" s="18"/>
    </x:row>
    <x:row r="122">
      <x:c r="H122" s="16"/>
      <x:c r="K122" s="10"/>
      <x:c r="M122" s="12"/>
      <x:c r="N122" s="18"/>
      <x:c r="O122" s="18"/>
    </x:row>
    <x:row r="123">
      <x:c r="H123" s="16"/>
      <x:c r="K123" s="10"/>
      <x:c r="M123" s="12"/>
      <x:c r="N123" s="18"/>
      <x:c r="O123" s="18"/>
    </x:row>
    <x:row r="124">
      <x:c r="H124" s="16"/>
      <x:c r="K124" s="10"/>
      <x:c r="M124" s="12"/>
      <x:c r="N124" s="18"/>
      <x:c r="O124" s="18"/>
    </x:row>
    <x:row r="125">
      <x:c r="H125" s="16"/>
      <x:c r="K125" s="10"/>
      <x:c r="M125" s="12"/>
      <x:c r="N125" s="18"/>
      <x:c r="O125" s="18"/>
    </x:row>
    <x:row r="126">
      <x:c r="H126" s="16"/>
      <x:c r="K126" s="10"/>
      <x:c r="M126" s="12"/>
      <x:c r="N126" s="18"/>
      <x:c r="O126" s="18"/>
    </x:row>
    <x:row r="127">
      <x:c r="H127" s="16"/>
      <x:c r="K127" s="10"/>
      <x:c r="M127" s="12"/>
      <x:c r="N127" s="18"/>
      <x:c r="O127" s="18"/>
    </x:row>
    <x:row r="128">
      <x:c r="H128" s="16"/>
      <x:c r="K128" s="10"/>
      <x:c r="M128" s="12"/>
      <x:c r="N128" s="18"/>
      <x:c r="O128" s="18"/>
    </x:row>
    <x:row r="129">
      <x:c r="H129" s="16"/>
      <x:c r="K129" s="10"/>
      <x:c r="M129" s="12"/>
      <x:c r="N129" s="18"/>
      <x:c r="O129" s="18"/>
    </x:row>
    <x:row r="130">
      <x:c r="H130" s="16"/>
      <x:c r="K130" s="10"/>
      <x:c r="M130" s="12"/>
      <x:c r="N130" s="18"/>
      <x:c r="O130" s="18"/>
    </x:row>
    <x:row r="131">
      <x:c r="H131" s="16"/>
      <x:c r="K131" s="10"/>
      <x:c r="M131" s="12"/>
      <x:c r="N131" s="18"/>
      <x:c r="O131" s="18"/>
    </x:row>
    <x:row r="132">
      <x:c r="H132" s="16"/>
      <x:c r="K132" s="10"/>
      <x:c r="M132" s="12"/>
      <x:c r="N132" s="18"/>
      <x:c r="O132" s="18"/>
    </x:row>
    <x:row r="133">
      <x:c r="H133" s="16"/>
      <x:c r="K133" s="10"/>
      <x:c r="M133" s="12"/>
      <x:c r="N133" s="18"/>
      <x:c r="O133" s="18"/>
    </x:row>
    <x:row r="134">
      <x:c r="H134" s="16"/>
      <x:c r="K134" s="10"/>
      <x:c r="M134" s="12"/>
      <x:c r="N134" s="18"/>
      <x:c r="O134" s="18"/>
    </x:row>
    <x:row r="135">
      <x:c r="H135" s="16"/>
      <x:c r="K135" s="10"/>
      <x:c r="M135" s="12"/>
      <x:c r="N135" s="18"/>
      <x:c r="O135" s="18"/>
    </x:row>
    <x:row r="136">
      <x:c r="H136" s="16"/>
      <x:c r="K136" s="10"/>
      <x:c r="M136" s="12"/>
      <x:c r="N136" s="18"/>
      <x:c r="O136" s="18"/>
    </x:row>
    <x:row r="137">
      <x:c r="H137" s="16"/>
      <x:c r="K137" s="10"/>
      <x:c r="M137" s="12"/>
      <x:c r="N137" s="18"/>
      <x:c r="O137" s="18"/>
    </x:row>
    <x:row r="138">
      <x:c r="H138" s="16"/>
      <x:c r="K138" s="10"/>
      <x:c r="M138" s="12"/>
      <x:c r="N138" s="18"/>
      <x:c r="O138" s="18"/>
    </x:row>
    <x:row r="139">
      <x:c r="H139" s="16"/>
      <x:c r="K139" s="10"/>
      <x:c r="M139" s="12"/>
      <x:c r="N139" s="18"/>
      <x:c r="O139" s="18"/>
    </x:row>
    <x:row r="140">
      <x:c r="H140" s="16"/>
      <x:c r="K140" s="10"/>
      <x:c r="M140" s="12"/>
      <x:c r="N140" s="18"/>
      <x:c r="O140" s="18"/>
    </x:row>
    <x:row r="141">
      <x:c r="H141" s="16"/>
      <x:c r="K141" s="10"/>
      <x:c r="M141" s="12"/>
      <x:c r="N141" s="18"/>
      <x:c r="O141" s="18"/>
    </x:row>
    <x:row r="142">
      <x:c r="H142" s="16"/>
      <x:c r="K142" s="10"/>
      <x:c r="M142" s="12"/>
      <x:c r="N142" s="18"/>
      <x:c r="O142" s="18"/>
    </x:row>
    <x:row r="143">
      <x:c r="H143" s="16"/>
      <x:c r="K143" s="10"/>
      <x:c r="M143" s="12"/>
      <x:c r="N143" s="18"/>
      <x:c r="O143" s="18"/>
    </x:row>
    <x:row r="144">
      <x:c r="H144" s="16"/>
      <x:c r="K144" s="10"/>
      <x:c r="M144" s="12"/>
      <x:c r="N144" s="18"/>
      <x:c r="O144" s="18"/>
    </x:row>
    <x:row r="145">
      <x:c r="H145" s="16"/>
      <x:c r="K145" s="10"/>
      <x:c r="M145" s="12"/>
      <x:c r="N145" s="18"/>
      <x:c r="O145" s="18"/>
    </x:row>
    <x:row r="146">
      <x:c r="H146" s="16"/>
      <x:c r="K146" s="10"/>
      <x:c r="M146" s="12"/>
      <x:c r="N146" s="18"/>
      <x:c r="O146" s="18"/>
    </x:row>
    <x:row r="147">
      <x:c r="H147" s="16"/>
      <x:c r="K147" s="10"/>
      <x:c r="M147" s="12"/>
      <x:c r="N147" s="18"/>
      <x:c r="O147" s="18"/>
    </x:row>
    <x:row r="148">
      <x:c r="H148" s="16"/>
      <x:c r="K148" s="10"/>
      <x:c r="M148" s="12"/>
      <x:c r="N148" s="18"/>
      <x:c r="O148" s="18"/>
    </x:row>
    <x:row r="149">
      <x:c r="H149" s="16"/>
      <x:c r="K149" s="10"/>
      <x:c r="M149" s="12"/>
      <x:c r="N149" s="18"/>
      <x:c r="O149" s="18"/>
    </x:row>
    <x:row r="150">
      <x:c r="H150" s="16"/>
      <x:c r="K150" s="10"/>
      <x:c r="M150" s="12"/>
      <x:c r="N150" s="18"/>
      <x:c r="O150" s="18"/>
    </x:row>
    <x:row r="151">
      <x:c r="H151" s="16"/>
      <x:c r="K151" s="10"/>
      <x:c r="M151" s="12"/>
      <x:c r="N151" s="18"/>
      <x:c r="O151" s="18"/>
    </x:row>
    <x:row r="152">
      <x:c r="H152" s="16"/>
      <x:c r="K152" s="10"/>
      <x:c r="M152" s="12"/>
      <x:c r="N152" s="18"/>
      <x:c r="O152" s="18"/>
    </x:row>
    <x:row r="153">
      <x:c r="H153" s="16"/>
      <x:c r="K153" s="10"/>
      <x:c r="M153" s="12"/>
      <x:c r="N153" s="18"/>
      <x:c r="O153" s="18"/>
    </x:row>
    <x:row r="154">
      <x:c r="H154" s="16"/>
      <x:c r="K154" s="10"/>
      <x:c r="M154" s="12"/>
      <x:c r="N154" s="18"/>
      <x:c r="O154" s="18"/>
    </x:row>
    <x:row r="155">
      <x:c r="H155" s="16"/>
      <x:c r="K155" s="10"/>
      <x:c r="M155" s="12"/>
      <x:c r="N155" s="18"/>
      <x:c r="O155" s="18"/>
    </x:row>
    <x:row r="156">
      <x:c r="H156" s="16"/>
      <x:c r="K156" s="10"/>
      <x:c r="M156" s="12"/>
      <x:c r="N156" s="18"/>
      <x:c r="O156" s="18"/>
    </x:row>
    <x:row r="157">
      <x:c r="H157" s="16"/>
      <x:c r="K157" s="10"/>
      <x:c r="M157" s="12"/>
      <x:c r="N157" s="18"/>
      <x:c r="O157" s="18"/>
    </x:row>
    <x:row r="158">
      <x:c r="H158" s="16"/>
      <x:c r="K158" s="10"/>
      <x:c r="M158" s="12"/>
      <x:c r="N158" s="18"/>
      <x:c r="O158" s="18"/>
    </x:row>
    <x:row r="159">
      <x:c r="H159" s="16"/>
      <x:c r="K159" s="10"/>
      <x:c r="M159" s="12"/>
      <x:c r="N159" s="18"/>
      <x:c r="O159" s="18"/>
    </x:row>
    <x:row r="160">
      <x:c r="H160" s="16"/>
      <x:c r="K160" s="10"/>
      <x:c r="M160" s="12"/>
      <x:c r="N160" s="18"/>
      <x:c r="O160" s="18"/>
    </x:row>
    <x:row r="161">
      <x:c r="H161" s="16"/>
      <x:c r="K161" s="10"/>
      <x:c r="M161" s="12"/>
      <x:c r="N161" s="18"/>
      <x:c r="O161" s="18"/>
    </x:row>
    <x:row r="162">
      <x:c r="H162" s="16"/>
      <x:c r="K162" s="10"/>
      <x:c r="M162" s="12"/>
      <x:c r="N162" s="18"/>
      <x:c r="O162" s="18"/>
    </x:row>
    <x:row r="163">
      <x:c r="H163" s="16"/>
      <x:c r="K163" s="10"/>
      <x:c r="M163" s="12"/>
      <x:c r="N163" s="18"/>
      <x:c r="O163" s="18"/>
    </x:row>
    <x:row r="164">
      <x:c r="H164" s="16"/>
      <x:c r="K164" s="10"/>
      <x:c r="M164" s="12"/>
      <x:c r="N164" s="18"/>
      <x:c r="O164" s="18"/>
    </x:row>
    <x:row r="165">
      <x:c r="H165" s="16"/>
      <x:c r="K165" s="10"/>
      <x:c r="M165" s="12"/>
      <x:c r="N165" s="18"/>
      <x:c r="O165" s="18"/>
    </x:row>
    <x:row r="166">
      <x:c r="H166" s="16"/>
      <x:c r="K166" s="10"/>
      <x:c r="M166" s="12"/>
      <x:c r="N166" s="18"/>
      <x:c r="O166" s="18"/>
    </x:row>
    <x:row r="167">
      <x:c r="H167" s="16"/>
      <x:c r="K167" s="10"/>
      <x:c r="M167" s="12"/>
      <x:c r="N167" s="18"/>
      <x:c r="O167" s="18"/>
    </x:row>
    <x:row r="168">
      <x:c r="H168" s="16"/>
      <x:c r="K168" s="10"/>
      <x:c r="M168" s="12"/>
      <x:c r="N168" s="18"/>
      <x:c r="O168" s="18"/>
    </x:row>
    <x:row r="169">
      <x:c r="H169" s="16"/>
      <x:c r="K169" s="10"/>
      <x:c r="M169" s="12"/>
      <x:c r="N169" s="18"/>
      <x:c r="O169" s="18"/>
    </x:row>
    <x:row r="170">
      <x:c r="H170" s="16"/>
      <x:c r="K170" s="10"/>
      <x:c r="M170" s="12"/>
      <x:c r="N170" s="18"/>
      <x:c r="O170" s="18"/>
    </x:row>
    <x:row r="171">
      <x:c r="H171" s="16"/>
      <x:c r="K171" s="10"/>
      <x:c r="M171" s="12"/>
      <x:c r="N171" s="18"/>
      <x:c r="O171" s="18"/>
    </x:row>
    <x:row r="172">
      <x:c r="H172" s="16"/>
      <x:c r="K172" s="10"/>
      <x:c r="M172" s="12"/>
      <x:c r="N172" s="18"/>
      <x:c r="O172" s="18"/>
    </x:row>
    <x:row r="173">
      <x:c r="H173" s="16"/>
      <x:c r="K173" s="10"/>
      <x:c r="M173" s="12"/>
      <x:c r="N173" s="18"/>
      <x:c r="O173" s="18"/>
    </x:row>
    <x:row r="174">
      <x:c r="H174" s="16"/>
      <x:c r="K174" s="10"/>
      <x:c r="M174" s="12"/>
      <x:c r="N174" s="18"/>
      <x:c r="O174" s="18"/>
    </x:row>
    <x:row r="175">
      <x:c r="H175" s="16"/>
      <x:c r="K175" s="10"/>
      <x:c r="M175" s="12"/>
      <x:c r="N175" s="18"/>
      <x:c r="O175" s="18"/>
    </x:row>
    <x:row r="176">
      <x:c r="H176" s="16"/>
      <x:c r="K176" s="10"/>
      <x:c r="M176" s="12"/>
      <x:c r="N176" s="18"/>
      <x:c r="O176" s="18"/>
    </x:row>
    <x:row r="177">
      <x:c r="H177" s="16"/>
      <x:c r="K177" s="10"/>
      <x:c r="M177" s="12"/>
      <x:c r="N177" s="18"/>
      <x:c r="O177" s="18"/>
    </x:row>
    <x:row r="178">
      <x:c r="H178" s="16"/>
      <x:c r="K178" s="10"/>
      <x:c r="M178" s="12"/>
      <x:c r="N178" s="18"/>
      <x:c r="O178" s="18"/>
    </x:row>
    <x:row r="179">
      <x:c r="H179" s="16"/>
      <x:c r="K179" s="10"/>
      <x:c r="M179" s="12"/>
      <x:c r="N179" s="18"/>
      <x:c r="O179" s="18"/>
    </x:row>
    <x:row r="180">
      <x:c r="H180" s="16"/>
      <x:c r="K180" s="10"/>
      <x:c r="M180" s="12"/>
      <x:c r="N180" s="18"/>
      <x:c r="O180" s="18"/>
    </x:row>
    <x:row r="181">
      <x:c r="H181" s="16"/>
      <x:c r="K181" s="10"/>
      <x:c r="M181" s="12"/>
      <x:c r="N181" s="18"/>
      <x:c r="O181" s="18"/>
    </x:row>
    <x:row r="182">
      <x:c r="H182" s="16"/>
      <x:c r="K182" s="10"/>
      <x:c r="M182" s="12"/>
      <x:c r="N182" s="18"/>
      <x:c r="O182" s="18"/>
    </x:row>
    <x:row r="183">
      <x:c r="H183" s="16"/>
      <x:c r="K183" s="10"/>
      <x:c r="M183" s="12"/>
      <x:c r="N183" s="18"/>
      <x:c r="O183" s="18"/>
    </x:row>
    <x:row r="184">
      <x:c r="H184" s="16"/>
      <x:c r="K184" s="10"/>
      <x:c r="M184" s="12"/>
      <x:c r="N184" s="18"/>
      <x:c r="O184" s="18"/>
    </x:row>
    <x:row r="185">
      <x:c r="H185" s="16"/>
      <x:c r="K185" s="10"/>
      <x:c r="M185" s="12"/>
      <x:c r="N185" s="18"/>
      <x:c r="O185" s="18"/>
    </x:row>
    <x:row r="186">
      <x:c r="H186" s="16"/>
      <x:c r="K186" s="10"/>
      <x:c r="M186" s="12"/>
      <x:c r="N186" s="18"/>
      <x:c r="O186" s="18"/>
    </x:row>
    <x:row r="187">
      <x:c r="H187" s="16"/>
      <x:c r="K187" s="10"/>
      <x:c r="M187" s="12"/>
      <x:c r="N187" s="18"/>
      <x:c r="O187" s="18"/>
    </x:row>
    <x:row r="188">
      <x:c r="H188" s="16"/>
      <x:c r="K188" s="10"/>
      <x:c r="M188" s="12"/>
      <x:c r="N188" s="18"/>
      <x:c r="O188" s="18"/>
    </x:row>
    <x:row r="189">
      <x:c r="H189" s="16"/>
      <x:c r="K189" s="10"/>
      <x:c r="M189" s="12"/>
      <x:c r="N189" s="18"/>
      <x:c r="O189" s="18"/>
    </x:row>
    <x:row r="190">
      <x:c r="H190" s="16"/>
      <x:c r="K190" s="10"/>
      <x:c r="M190" s="12"/>
      <x:c r="N190" s="18"/>
      <x:c r="O190" s="18"/>
    </x:row>
    <x:row r="191">
      <x:c r="H191" s="16"/>
      <x:c r="K191" s="10"/>
      <x:c r="M191" s="12"/>
      <x:c r="N191" s="18"/>
      <x:c r="O191" s="18"/>
    </x:row>
    <x:row r="192">
      <x:c r="H192" s="16"/>
      <x:c r="K192" s="10"/>
      <x:c r="M192" s="12"/>
      <x:c r="N192" s="18"/>
      <x:c r="O192" s="18"/>
    </x:row>
    <x:row r="193">
      <x:c r="H193" s="16"/>
      <x:c r="K193" s="10"/>
      <x:c r="M193" s="12"/>
      <x:c r="N193" s="18"/>
      <x:c r="O193" s="18"/>
    </x:row>
    <x:row r="194">
      <x:c r="H194" s="16"/>
      <x:c r="K194" s="10"/>
      <x:c r="M194" s="12"/>
      <x:c r="N194" s="18"/>
      <x:c r="O194" s="18"/>
    </x:row>
    <x:row r="195">
      <x:c r="H195" s="16"/>
      <x:c r="K195" s="10"/>
      <x:c r="M195" s="12"/>
      <x:c r="N195" s="18"/>
      <x:c r="O195" s="18"/>
    </x:row>
    <x:row r="196">
      <x:c r="H196" s="16"/>
      <x:c r="K196" s="10"/>
      <x:c r="M196" s="12"/>
      <x:c r="N196" s="18"/>
      <x:c r="O196" s="18"/>
    </x:row>
    <x:row r="197">
      <x:c r="H197" s="16"/>
      <x:c r="K197" s="10"/>
      <x:c r="M197" s="12"/>
      <x:c r="N197" s="18"/>
      <x:c r="O197" s="18"/>
    </x:row>
    <x:row r="198">
      <x:c r="H198" s="16"/>
      <x:c r="K198" s="10"/>
      <x:c r="M198" s="12"/>
      <x:c r="N198" s="18"/>
      <x:c r="O198" s="18"/>
    </x:row>
    <x:row r="199">
      <x:c r="H199" s="16"/>
      <x:c r="K199" s="10"/>
      <x:c r="M199" s="12"/>
      <x:c r="N199" s="18"/>
      <x:c r="O199" s="18"/>
    </x:row>
    <x:row r="200">
      <x:c r="H200" s="16"/>
      <x:c r="K200" s="10"/>
      <x:c r="M200" s="12"/>
      <x:c r="N200" s="18"/>
      <x:c r="O200" s="18"/>
    </x:row>
    <x:row r="201">
      <x:c r="H201" s="16"/>
      <x:c r="K201" s="10"/>
      <x:c r="M201" s="12"/>
      <x:c r="N201" s="18"/>
      <x:c r="O201" s="18"/>
    </x:row>
    <x:row r="202">
      <x:c r="H202" s="16"/>
      <x:c r="K202" s="10"/>
      <x:c r="M202" s="12"/>
      <x:c r="N202" s="18"/>
      <x:c r="O202" s="18"/>
    </x:row>
    <x:row r="203">
      <x:c r="H203" s="16"/>
      <x:c r="K203" s="10"/>
      <x:c r="M203" s="12"/>
      <x:c r="N203" s="18"/>
      <x:c r="O203" s="18"/>
    </x:row>
    <x:row r="204">
      <x:c r="H204" s="16"/>
      <x:c r="K204" s="10"/>
      <x:c r="M204" s="12"/>
      <x:c r="N204" s="18"/>
      <x:c r="O204" s="18"/>
    </x:row>
    <x:row r="205">
      <x:c r="H205" s="16"/>
      <x:c r="K205" s="10"/>
      <x:c r="M205" s="12"/>
      <x:c r="N205" s="18"/>
      <x:c r="O205" s="18"/>
    </x:row>
    <x:row r="206">
      <x:c r="H206" s="16"/>
      <x:c r="K206" s="10"/>
      <x:c r="M206" s="12"/>
      <x:c r="N206" s="18"/>
      <x:c r="O206" s="18"/>
    </x:row>
    <x:row r="207">
      <x:c r="H207" s="16"/>
      <x:c r="K207" s="10"/>
      <x:c r="M207" s="12"/>
      <x:c r="N207" s="18"/>
      <x:c r="O207" s="18"/>
    </x:row>
    <x:row r="208">
      <x:c r="H208" s="16"/>
      <x:c r="K208" s="10"/>
      <x:c r="M208" s="12"/>
      <x:c r="N208" s="18"/>
      <x:c r="O208" s="18"/>
    </x:row>
    <x:row r="209">
      <x:c r="H209" s="16"/>
      <x:c r="K209" s="10"/>
      <x:c r="M209" s="12"/>
      <x:c r="N209" s="18"/>
      <x:c r="O209" s="18"/>
    </x:row>
    <x:row r="210">
      <x:c r="H210" s="16"/>
      <x:c r="K210" s="10"/>
      <x:c r="M210" s="12"/>
      <x:c r="N210" s="18"/>
      <x:c r="O210" s="18"/>
    </x:row>
    <x:row r="211">
      <x:c r="H211" s="16"/>
      <x:c r="K211" s="10"/>
      <x:c r="M211" s="12"/>
      <x:c r="N211" s="18"/>
      <x:c r="O211" s="18"/>
    </x:row>
    <x:row r="212">
      <x:c r="H212" s="16"/>
      <x:c r="K212" s="10"/>
      <x:c r="M212" s="12"/>
      <x:c r="N212" s="18"/>
      <x:c r="O212" s="18"/>
    </x:row>
    <x:row r="213">
      <x:c r="H213" s="16"/>
      <x:c r="K213" s="10"/>
      <x:c r="M213" s="12"/>
      <x:c r="N213" s="18"/>
      <x:c r="O213" s="18"/>
    </x:row>
    <x:row r="214">
      <x:c r="H214" s="16"/>
      <x:c r="K214" s="10"/>
      <x:c r="M214" s="12"/>
      <x:c r="N214" s="18"/>
      <x:c r="O214" s="18"/>
    </x:row>
    <x:row r="215">
      <x:c r="H215" s="16"/>
      <x:c r="K215" s="10"/>
      <x:c r="M215" s="12"/>
      <x:c r="N215" s="18"/>
      <x:c r="O215" s="18"/>
    </x:row>
    <x:row r="216">
      <x:c r="H216" s="16"/>
      <x:c r="K216" s="10"/>
      <x:c r="M216" s="12"/>
      <x:c r="N216" s="18"/>
      <x:c r="O216" s="18"/>
    </x:row>
    <x:row r="217">
      <x:c r="H217" s="16"/>
      <x:c r="K217" s="10"/>
      <x:c r="M217" s="12"/>
      <x:c r="N217" s="18"/>
      <x:c r="O217" s="18"/>
    </x:row>
    <x:row r="218">
      <x:c r="H218" s="16"/>
      <x:c r="K218" s="10"/>
      <x:c r="M218" s="12"/>
      <x:c r="N218" s="18"/>
      <x:c r="O218" s="18"/>
    </x:row>
    <x:row r="219">
      <x:c r="H219" s="16"/>
      <x:c r="K219" s="10"/>
      <x:c r="M219" s="12"/>
      <x:c r="N219" s="18"/>
      <x:c r="O219" s="18"/>
    </x:row>
    <x:row r="220">
      <x:c r="H220" s="16"/>
      <x:c r="K220" s="10"/>
      <x:c r="M220" s="12"/>
      <x:c r="N220" s="18"/>
      <x:c r="O220" s="18"/>
    </x:row>
    <x:row r="221">
      <x:c r="H221" s="16"/>
      <x:c r="K221" s="10"/>
      <x:c r="M221" s="12"/>
      <x:c r="N221" s="18"/>
      <x:c r="O221" s="18"/>
    </x:row>
    <x:row r="222">
      <x:c r="H222" s="16"/>
      <x:c r="K222" s="10"/>
      <x:c r="M222" s="12"/>
      <x:c r="N222" s="18"/>
      <x:c r="O222" s="18"/>
    </x:row>
    <x:row r="223">
      <x:c r="H223" s="16"/>
      <x:c r="K223" s="10"/>
      <x:c r="M223" s="12"/>
      <x:c r="N223" s="18"/>
      <x:c r="O223" s="18"/>
    </x:row>
    <x:row r="224">
      <x:c r="H224" s="16"/>
      <x:c r="K224" s="10"/>
      <x:c r="M224" s="12"/>
      <x:c r="N224" s="18"/>
      <x:c r="O224" s="18"/>
    </x:row>
    <x:row r="225">
      <x:c r="H225" s="16"/>
      <x:c r="K225" s="10"/>
      <x:c r="M225" s="12"/>
      <x:c r="N225" s="18"/>
      <x:c r="O225" s="18"/>
    </x:row>
    <x:row r="226">
      <x:c r="H226" s="16"/>
      <x:c r="K226" s="10"/>
      <x:c r="M226" s="12"/>
      <x:c r="N226" s="18"/>
      <x:c r="O226" s="18"/>
    </x:row>
    <x:row r="227">
      <x:c r="H227" s="16"/>
      <x:c r="K227" s="10"/>
      <x:c r="M227" s="12"/>
      <x:c r="N227" s="18"/>
      <x:c r="O227" s="18"/>
    </x:row>
    <x:row r="228">
      <x:c r="H228" s="16"/>
      <x:c r="K228" s="10"/>
      <x:c r="M228" s="12"/>
      <x:c r="N228" s="18"/>
      <x:c r="O228" s="18"/>
    </x:row>
    <x:row r="229">
      <x:c r="H229" s="16"/>
      <x:c r="K229" s="10"/>
      <x:c r="M229" s="12"/>
      <x:c r="N229" s="18"/>
      <x:c r="O229" s="18"/>
    </x:row>
    <x:row r="230">
      <x:c r="H230" s="16"/>
      <x:c r="K230" s="10"/>
      <x:c r="M230" s="12"/>
      <x:c r="N230" s="18"/>
      <x:c r="O230" s="18"/>
    </x:row>
    <x:row r="231">
      <x:c r="H231" s="16"/>
      <x:c r="K231" s="10"/>
      <x:c r="M231" s="12"/>
      <x:c r="N231" s="18"/>
      <x:c r="O231" s="18"/>
    </x:row>
    <x:row r="232">
      <x:c r="H232" s="16"/>
      <x:c r="K232" s="10"/>
      <x:c r="M232" s="12"/>
      <x:c r="N232" s="18"/>
      <x:c r="O232" s="18"/>
    </x:row>
    <x:row r="233">
      <x:c r="H233" s="16"/>
      <x:c r="K233" s="10"/>
      <x:c r="M233" s="12"/>
      <x:c r="N233" s="18"/>
      <x:c r="O233" s="18"/>
    </x:row>
    <x:row r="234">
      <x:c r="H234" s="16"/>
      <x:c r="K234" s="10"/>
      <x:c r="M234" s="12"/>
      <x:c r="N234" s="18"/>
      <x:c r="O234" s="18"/>
    </x:row>
    <x:row r="235">
      <x:c r="H235" s="16"/>
      <x:c r="K235" s="10"/>
      <x:c r="M235" s="12"/>
      <x:c r="N235" s="18"/>
      <x:c r="O235" s="18"/>
    </x:row>
    <x:row r="236">
      <x:c r="H236" s="16"/>
      <x:c r="K236" s="10"/>
      <x:c r="M236" s="12"/>
      <x:c r="N236" s="18"/>
      <x:c r="O236" s="18"/>
    </x:row>
    <x:row r="237">
      <x:c r="H237" s="16"/>
      <x:c r="K237" s="10"/>
      <x:c r="M237" s="12"/>
      <x:c r="N237" s="18"/>
      <x:c r="O237" s="18"/>
    </x:row>
    <x:row r="238">
      <x:c r="H238" s="16"/>
      <x:c r="K238" s="10"/>
      <x:c r="M238" s="12"/>
      <x:c r="N238" s="18"/>
      <x:c r="O238" s="18"/>
    </x:row>
    <x:row r="239">
      <x:c r="H239" s="16"/>
      <x:c r="K239" s="10"/>
      <x:c r="M239" s="12"/>
      <x:c r="N239" s="18"/>
      <x:c r="O239" s="18"/>
    </x:row>
    <x:row r="240">
      <x:c r="H240" s="16"/>
      <x:c r="K240" s="10"/>
      <x:c r="M240" s="12"/>
      <x:c r="N240" s="18"/>
      <x:c r="O240" s="18"/>
    </x:row>
    <x:row r="241">
      <x:c r="H241" s="16"/>
      <x:c r="K241" s="10"/>
      <x:c r="M241" s="12"/>
      <x:c r="N241" s="18"/>
      <x:c r="O241" s="18"/>
    </x:row>
    <x:row r="242">
      <x:c r="H242" s="16"/>
      <x:c r="K242" s="10"/>
      <x:c r="M242" s="12"/>
      <x:c r="N242" s="18"/>
      <x:c r="O242" s="18"/>
    </x:row>
    <x:row r="243">
      <x:c r="H243" s="16"/>
      <x:c r="K243" s="10"/>
      <x:c r="M243" s="12"/>
      <x:c r="N243" s="18"/>
      <x:c r="O243" s="18"/>
    </x:row>
    <x:row r="244">
      <x:c r="H244" s="16"/>
      <x:c r="K244" s="10"/>
      <x:c r="M244" s="12"/>
      <x:c r="N244" s="18"/>
      <x:c r="O244" s="18"/>
    </x:row>
    <x:row r="245">
      <x:c r="H245" s="16"/>
      <x:c r="K245" s="10"/>
      <x:c r="M245" s="12"/>
      <x:c r="N245" s="18"/>
      <x:c r="O245" s="18"/>
    </x:row>
    <x:row r="246">
      <x:c r="H246" s="16"/>
      <x:c r="K246" s="10"/>
      <x:c r="M246" s="12"/>
      <x:c r="N246" s="18"/>
      <x:c r="O246" s="18"/>
    </x:row>
    <x:row r="247">
      <x:c r="H247" s="16"/>
      <x:c r="K247" s="10"/>
      <x:c r="M247" s="12"/>
      <x:c r="N247" s="18"/>
      <x:c r="O247" s="18"/>
    </x:row>
    <x:row r="248">
      <x:c r="H248" s="16"/>
      <x:c r="K248" s="10"/>
      <x:c r="M248" s="12"/>
      <x:c r="N248" s="18"/>
      <x:c r="O248" s="18"/>
    </x:row>
    <x:row r="249">
      <x:c r="H249" s="16"/>
      <x:c r="K249" s="10"/>
      <x:c r="M249" s="12"/>
      <x:c r="N249" s="18"/>
      <x:c r="O249" s="18"/>
    </x:row>
    <x:row r="250">
      <x:c r="H250" s="16"/>
      <x:c r="K250" s="10"/>
      <x:c r="M250" s="12"/>
      <x:c r="N250" s="18"/>
      <x:c r="O250" s="18"/>
    </x:row>
    <x:row r="251">
      <x:c r="H251" s="16"/>
      <x:c r="K251" s="10"/>
      <x:c r="M251" s="12"/>
      <x:c r="N251" s="18"/>
      <x:c r="O251" s="18"/>
    </x:row>
    <x:row r="252">
      <x:c r="H252" s="16"/>
      <x:c r="K252" s="10"/>
      <x:c r="M252" s="12"/>
      <x:c r="N252" s="18"/>
      <x:c r="O252" s="18"/>
    </x:row>
    <x:row r="253">
      <x:c r="H253" s="16"/>
      <x:c r="K253" s="10"/>
      <x:c r="M253" s="12"/>
      <x:c r="N253" s="18"/>
      <x:c r="O253" s="18"/>
    </x:row>
    <x:row r="254">
      <x:c r="H254" s="16"/>
      <x:c r="K254" s="10"/>
      <x:c r="M254" s="12"/>
      <x:c r="N254" s="18"/>
      <x:c r="O254" s="18"/>
    </x:row>
    <x:row r="255">
      <x:c r="H255" s="16"/>
      <x:c r="K255" s="10"/>
      <x:c r="M255" s="12"/>
      <x:c r="N255" s="18"/>
      <x:c r="O255" s="18"/>
    </x:row>
    <x:row r="256">
      <x:c r="H256" s="16"/>
      <x:c r="K256" s="10"/>
      <x:c r="M256" s="12"/>
      <x:c r="N256" s="18"/>
      <x:c r="O256" s="18"/>
    </x:row>
    <x:row r="257">
      <x:c r="H257" s="16"/>
      <x:c r="K257" s="10"/>
      <x:c r="M257" s="12"/>
      <x:c r="N257" s="18"/>
      <x:c r="O257" s="18"/>
    </x:row>
    <x:row r="258">
      <x:c r="H258" s="16"/>
      <x:c r="K258" s="10"/>
      <x:c r="M258" s="12"/>
      <x:c r="N258" s="18"/>
      <x:c r="O258" s="18"/>
    </x:row>
    <x:row r="259">
      <x:c r="H259" s="16"/>
      <x:c r="K259" s="10"/>
      <x:c r="M259" s="12"/>
      <x:c r="N259" s="18"/>
      <x:c r="O259" s="18"/>
    </x:row>
    <x:row r="260">
      <x:c r="H260" s="16"/>
      <x:c r="K260" s="10"/>
      <x:c r="M260" s="12"/>
      <x:c r="N260" s="18"/>
      <x:c r="O260" s="18"/>
    </x:row>
    <x:row r="261">
      <x:c r="H261" s="16"/>
      <x:c r="K261" s="10"/>
      <x:c r="M261" s="12"/>
      <x:c r="N261" s="18"/>
      <x:c r="O261" s="18"/>
    </x:row>
    <x:row r="262">
      <x:c r="H262" s="16"/>
      <x:c r="K262" s="10"/>
      <x:c r="M262" s="12"/>
      <x:c r="N262" s="18"/>
      <x:c r="O262" s="18"/>
    </x:row>
    <x:row r="263">
      <x:c r="H263" s="16"/>
      <x:c r="K263" s="10"/>
      <x:c r="M263" s="12"/>
      <x:c r="N263" s="18"/>
      <x:c r="O263" s="18"/>
    </x:row>
    <x:row r="264">
      <x:c r="H264" s="16"/>
      <x:c r="K264" s="10"/>
      <x:c r="M264" s="12"/>
      <x:c r="N264" s="18"/>
      <x:c r="O264" s="18"/>
    </x:row>
    <x:row r="265">
      <x:c r="H265" s="16"/>
      <x:c r="K265" s="10"/>
      <x:c r="M265" s="12"/>
      <x:c r="N265" s="18"/>
      <x:c r="O265" s="18"/>
    </x:row>
    <x:row r="266">
      <x:c r="H266" s="16"/>
      <x:c r="K266" s="10"/>
      <x:c r="M266" s="12"/>
      <x:c r="N266" s="18"/>
      <x:c r="O266" s="18"/>
    </x:row>
    <x:row r="267">
      <x:c r="H267" s="16"/>
      <x:c r="K267" s="10"/>
      <x:c r="M267" s="12"/>
      <x:c r="N267" s="18"/>
      <x:c r="O267" s="18"/>
    </x:row>
    <x:row r="268">
      <x:c r="H268" s="16"/>
      <x:c r="K268" s="10"/>
      <x:c r="M268" s="12"/>
      <x:c r="N268" s="18"/>
      <x:c r="O268" s="18"/>
    </x:row>
    <x:row r="269">
      <x:c r="H269" s="16"/>
      <x:c r="K269" s="10"/>
      <x:c r="M269" s="12"/>
      <x:c r="N269" s="18"/>
      <x:c r="O269" s="18"/>
    </x:row>
    <x:row r="270">
      <x:c r="H270" s="16"/>
      <x:c r="K270" s="10"/>
      <x:c r="M270" s="12"/>
      <x:c r="N270" s="18"/>
      <x:c r="O270" s="18"/>
    </x:row>
    <x:row r="271">
      <x:c r="H271" s="16"/>
      <x:c r="K271" s="10"/>
      <x:c r="M271" s="12"/>
      <x:c r="N271" s="18"/>
      <x:c r="O271" s="18"/>
    </x:row>
    <x:row r="272">
      <x:c r="H272" s="16"/>
      <x:c r="K272" s="10"/>
      <x:c r="M272" s="12"/>
      <x:c r="N272" s="18"/>
      <x:c r="O272" s="18"/>
    </x:row>
    <x:row r="273">
      <x:c r="H273" s="16"/>
      <x:c r="K273" s="10"/>
      <x:c r="M273" s="12"/>
      <x:c r="N273" s="18"/>
      <x:c r="O273" s="18"/>
    </x:row>
    <x:row r="274">
      <x:c r="H274" s="16"/>
      <x:c r="K274" s="10"/>
      <x:c r="M274" s="12"/>
      <x:c r="N274" s="18"/>
      <x:c r="O274" s="18"/>
    </x:row>
    <x:row r="275">
      <x:c r="H275" s="16"/>
      <x:c r="K275" s="10"/>
      <x:c r="M275" s="12"/>
      <x:c r="N275" s="18"/>
      <x:c r="O275" s="18"/>
    </x:row>
    <x:row r="276">
      <x:c r="H276" s="16"/>
      <x:c r="K276" s="10"/>
      <x:c r="M276" s="12"/>
      <x:c r="N276" s="18"/>
      <x:c r="O276" s="18"/>
    </x:row>
    <x:row r="277">
      <x:c r="H277" s="16"/>
      <x:c r="K277" s="10"/>
      <x:c r="M277" s="12"/>
      <x:c r="N277" s="18"/>
      <x:c r="O277" s="18"/>
    </x:row>
    <x:row r="278">
      <x:c r="H278" s="16"/>
      <x:c r="K278" s="10"/>
      <x:c r="M278" s="12"/>
      <x:c r="N278" s="18"/>
      <x:c r="O278" s="18"/>
    </x:row>
    <x:row r="279">
      <x:c r="H279" s="16"/>
      <x:c r="K279" s="10"/>
      <x:c r="M279" s="12"/>
      <x:c r="N279" s="18"/>
      <x:c r="O279" s="18"/>
    </x:row>
    <x:row r="280">
      <x:c r="H280" s="16"/>
      <x:c r="K280" s="10"/>
      <x:c r="M280" s="12"/>
      <x:c r="N280" s="18"/>
      <x:c r="O280" s="18"/>
    </x:row>
    <x:row r="281">
      <x:c r="H281" s="16"/>
      <x:c r="K281" s="10"/>
      <x:c r="M281" s="12"/>
      <x:c r="N281" s="18"/>
      <x:c r="O281" s="18"/>
    </x:row>
    <x:row r="282">
      <x:c r="H282" s="16"/>
      <x:c r="K282" s="10"/>
      <x:c r="M282" s="12"/>
      <x:c r="N282" s="18"/>
      <x:c r="O282" s="18"/>
    </x:row>
    <x:row r="283">
      <x:c r="H283" s="16"/>
      <x:c r="K283" s="10"/>
      <x:c r="M283" s="12"/>
      <x:c r="N283" s="18"/>
      <x:c r="O283" s="18"/>
    </x:row>
    <x:row r="284">
      <x:c r="H284" s="16"/>
      <x:c r="K284" s="10"/>
      <x:c r="M284" s="12"/>
      <x:c r="N284" s="18"/>
      <x:c r="O284" s="18"/>
    </x:row>
    <x:row r="285">
      <x:c r="H285" s="16"/>
      <x:c r="K285" s="10"/>
      <x:c r="M285" s="12"/>
      <x:c r="N285" s="18"/>
      <x:c r="O285" s="18"/>
    </x:row>
    <x:row r="286">
      <x:c r="H286" s="16"/>
      <x:c r="K286" s="10"/>
      <x:c r="M286" s="12"/>
      <x:c r="N286" s="18"/>
      <x:c r="O286" s="18"/>
    </x:row>
    <x:row r="287">
      <x:c r="H287" s="16"/>
      <x:c r="K287" s="10"/>
      <x:c r="M287" s="12"/>
      <x:c r="N287" s="18"/>
      <x:c r="O287" s="18"/>
    </x:row>
    <x:row r="288">
      <x:c r="H288" s="16"/>
      <x:c r="K288" s="10"/>
      <x:c r="M288" s="12"/>
      <x:c r="N288" s="18"/>
      <x:c r="O288" s="18"/>
    </x:row>
    <x:row r="289">
      <x:c r="H289" s="16"/>
      <x:c r="K289" s="10"/>
      <x:c r="M289" s="12"/>
      <x:c r="N289" s="18"/>
      <x:c r="O289" s="18"/>
    </x:row>
    <x:row r="290">
      <x:c r="H290" s="16"/>
      <x:c r="K290" s="10"/>
      <x:c r="M290" s="12"/>
      <x:c r="N290" s="18"/>
      <x:c r="O290" s="18"/>
    </x:row>
    <x:row r="291">
      <x:c r="H291" s="16"/>
      <x:c r="K291" s="10"/>
      <x:c r="M291" s="12"/>
      <x:c r="N291" s="18"/>
      <x:c r="O291" s="18"/>
    </x:row>
    <x:row r="292">
      <x:c r="H292" s="16"/>
      <x:c r="K292" s="10"/>
      <x:c r="M292" s="12"/>
      <x:c r="N292" s="18"/>
      <x:c r="O292" s="18"/>
    </x:row>
    <x:row r="293">
      <x:c r="H293" s="16"/>
      <x:c r="K293" s="10"/>
      <x:c r="M293" s="12"/>
      <x:c r="N293" s="18"/>
      <x:c r="O293" s="18"/>
    </x:row>
    <x:row r="294">
      <x:c r="H294" s="16"/>
      <x:c r="K294" s="10"/>
      <x:c r="M294" s="12"/>
      <x:c r="N294" s="18"/>
      <x:c r="O294" s="18"/>
    </x:row>
    <x:row r="295">
      <x:c r="H295" s="16"/>
      <x:c r="K295" s="10"/>
      <x:c r="M295" s="12"/>
      <x:c r="N295" s="18"/>
      <x:c r="O295" s="18"/>
    </x:row>
    <x:row r="296">
      <x:c r="H296" s="16"/>
      <x:c r="K296" s="10"/>
      <x:c r="M296" s="12"/>
      <x:c r="N296" s="18"/>
      <x:c r="O296" s="18"/>
    </x:row>
    <x:row r="297">
      <x:c r="H297" s="16"/>
      <x:c r="K297" s="10"/>
      <x:c r="M297" s="12"/>
      <x:c r="N297" s="18"/>
      <x:c r="O297" s="18"/>
    </x:row>
    <x:row r="298">
      <x:c r="H298" s="16"/>
      <x:c r="K298" s="10"/>
      <x:c r="M298" s="12"/>
      <x:c r="N298" s="18"/>
      <x:c r="O298" s="18"/>
    </x:row>
    <x:row r="299">
      <x:c r="H299" s="16"/>
      <x:c r="K299" s="10"/>
      <x:c r="M299" s="12"/>
      <x:c r="N299" s="18"/>
      <x:c r="O299" s="18"/>
    </x:row>
    <x:row r="300">
      <x:c r="H300" s="16"/>
      <x:c r="K300" s="10"/>
      <x:c r="M300" s="12"/>
      <x:c r="N300" s="18"/>
      <x:c r="O300" s="18"/>
    </x:row>
    <x:row r="301">
      <x:c r="H301" s="16"/>
      <x:c r="K301" s="10"/>
      <x:c r="M301" s="12"/>
      <x:c r="N301" s="18"/>
      <x:c r="O301" s="18"/>
    </x:row>
    <x:row r="302">
      <x:c r="H302" s="16"/>
      <x:c r="K302" s="10"/>
      <x:c r="M302" s="12"/>
      <x:c r="N302" s="18"/>
      <x:c r="O302" s="18"/>
    </x:row>
    <x:row r="303">
      <x:c r="H303" s="16"/>
      <x:c r="K303" s="10"/>
      <x:c r="M303" s="12"/>
      <x:c r="N303" s="18"/>
      <x:c r="O303" s="18"/>
    </x:row>
    <x:row r="304">
      <x:c r="H304" s="16"/>
      <x:c r="K304" s="10"/>
      <x:c r="M304" s="12"/>
      <x:c r="N304" s="18"/>
      <x:c r="O304" s="18"/>
    </x:row>
    <x:row r="305">
      <x:c r="H305" s="16"/>
      <x:c r="K305" s="10"/>
      <x:c r="M305" s="12"/>
      <x:c r="N305" s="18"/>
      <x:c r="O305" s="18"/>
    </x:row>
    <x:row r="306">
      <x:c r="H306" s="16"/>
      <x:c r="K306" s="10"/>
      <x:c r="M306" s="12"/>
      <x:c r="N306" s="18"/>
      <x:c r="O306" s="18"/>
    </x:row>
    <x:row r="307">
      <x:c r="H307" s="16"/>
      <x:c r="K307" s="10"/>
      <x:c r="M307" s="12"/>
      <x:c r="N307" s="18"/>
      <x:c r="O307" s="18"/>
    </x:row>
    <x:row r="308">
      <x:c r="H308" s="16"/>
      <x:c r="K308" s="10"/>
      <x:c r="M308" s="12"/>
      <x:c r="N308" s="18"/>
      <x:c r="O308" s="18"/>
    </x:row>
    <x:row r="309">
      <x:c r="H309" s="16"/>
      <x:c r="K309" s="10"/>
      <x:c r="M309" s="12"/>
      <x:c r="N309" s="18"/>
      <x:c r="O309" s="18"/>
    </x:row>
    <x:row r="310">
      <x:c r="H310" s="16"/>
      <x:c r="K310" s="10"/>
      <x:c r="M310" s="12"/>
      <x:c r="N310" s="18"/>
      <x:c r="O310" s="18"/>
    </x:row>
    <x:row r="311">
      <x:c r="H311" s="16"/>
      <x:c r="K311" s="10"/>
      <x:c r="M311" s="12"/>
      <x:c r="N311" s="18"/>
      <x:c r="O311" s="18"/>
    </x:row>
    <x:row r="312">
      <x:c r="H312" s="16"/>
      <x:c r="K312" s="10"/>
      <x:c r="M312" s="12"/>
      <x:c r="N312" s="18"/>
      <x:c r="O312" s="18"/>
    </x:row>
    <x:row r="313">
      <x:c r="H313" s="16"/>
      <x:c r="K313" s="10"/>
      <x:c r="M313" s="12"/>
      <x:c r="N313" s="18"/>
      <x:c r="O313" s="18"/>
    </x:row>
    <x:row r="314">
      <x:c r="H314" s="16"/>
      <x:c r="K314" s="10"/>
      <x:c r="M314" s="12"/>
      <x:c r="N314" s="18"/>
      <x:c r="O314" s="18"/>
    </x:row>
    <x:row r="315">
      <x:c r="H315" s="16"/>
      <x:c r="K315" s="10"/>
      <x:c r="M315" s="12"/>
      <x:c r="N315" s="18"/>
      <x:c r="O315" s="18"/>
    </x:row>
    <x:row r="316">
      <x:c r="H316" s="16"/>
      <x:c r="K316" s="10"/>
      <x:c r="M316" s="12"/>
      <x:c r="N316" s="18"/>
      <x:c r="O316" s="18"/>
    </x:row>
    <x:row r="317">
      <x:c r="H317" s="16"/>
      <x:c r="K317" s="10"/>
      <x:c r="M317" s="12"/>
      <x:c r="N317" s="18"/>
      <x:c r="O317" s="18"/>
    </x:row>
    <x:row r="318">
      <x:c r="H318" s="16"/>
      <x:c r="K318" s="10"/>
      <x:c r="M318" s="12"/>
      <x:c r="N318" s="18"/>
      <x:c r="O318" s="18"/>
    </x:row>
    <x:row r="319">
      <x:c r="H319" s="16"/>
      <x:c r="K319" s="10"/>
      <x:c r="M319" s="12"/>
      <x:c r="N319" s="18"/>
      <x:c r="O319" s="18"/>
    </x:row>
    <x:row r="320">
      <x:c r="H320" s="16"/>
      <x:c r="K320" s="10"/>
      <x:c r="M320" s="12"/>
      <x:c r="N320" s="18"/>
      <x:c r="O320" s="18"/>
    </x:row>
    <x:row r="321">
      <x:c r="H321" s="16"/>
      <x:c r="K321" s="10"/>
      <x:c r="M321" s="12"/>
      <x:c r="N321" s="18"/>
      <x:c r="O321" s="18"/>
    </x:row>
    <x:row r="322">
      <x:c r="H322" s="16"/>
      <x:c r="K322" s="10"/>
      <x:c r="M322" s="12"/>
      <x:c r="N322" s="18"/>
      <x:c r="O322" s="18"/>
    </x:row>
    <x:row r="323">
      <x:c r="H323" s="16"/>
      <x:c r="K323" s="10"/>
      <x:c r="M323" s="12"/>
      <x:c r="N323" s="18"/>
      <x:c r="O323" s="18"/>
    </x:row>
    <x:row r="324">
      <x:c r="H324" s="16"/>
      <x:c r="K324" s="10"/>
      <x:c r="M324" s="12"/>
      <x:c r="N324" s="18"/>
      <x:c r="O324" s="18"/>
    </x:row>
    <x:row r="325">
      <x:c r="H325" s="16"/>
      <x:c r="K325" s="10"/>
      <x:c r="M325" s="12"/>
      <x:c r="N325" s="18"/>
      <x:c r="O325" s="18"/>
    </x:row>
    <x:row r="326">
      <x:c r="H326" s="16"/>
      <x:c r="K326" s="10"/>
      <x:c r="M326" s="12"/>
      <x:c r="N326" s="18"/>
      <x:c r="O326" s="18"/>
    </x:row>
    <x:row r="327">
      <x:c r="H327" s="16"/>
      <x:c r="K327" s="10"/>
      <x:c r="M327" s="12"/>
      <x:c r="N327" s="18"/>
      <x:c r="O327" s="18"/>
    </x:row>
    <x:row r="328">
      <x:c r="H328" s="16"/>
      <x:c r="K328" s="10"/>
      <x:c r="M328" s="12"/>
      <x:c r="N328" s="18"/>
      <x:c r="O328" s="18"/>
    </x:row>
    <x:row r="329">
      <x:c r="H329" s="16"/>
      <x:c r="K329" s="10"/>
      <x:c r="M329" s="12"/>
      <x:c r="N329" s="18"/>
      <x:c r="O329" s="18"/>
    </x:row>
    <x:row r="330">
      <x:c r="H330" s="16"/>
      <x:c r="K330" s="10"/>
      <x:c r="M330" s="12"/>
      <x:c r="N330" s="18"/>
      <x:c r="O330" s="18"/>
    </x:row>
    <x:row r="331">
      <x:c r="H331" s="16"/>
      <x:c r="K331" s="10"/>
      <x:c r="M331" s="12"/>
      <x:c r="N331" s="18"/>
      <x:c r="O331" s="18"/>
    </x:row>
    <x:row r="332">
      <x:c r="H332" s="16"/>
      <x:c r="K332" s="10"/>
      <x:c r="M332" s="12"/>
      <x:c r="N332" s="18"/>
      <x:c r="O332" s="18"/>
    </x:row>
    <x:row r="333">
      <x:c r="H333" s="16"/>
      <x:c r="K333" s="10"/>
      <x:c r="M333" s="12"/>
      <x:c r="N333" s="18"/>
      <x:c r="O333" s="18"/>
    </x:row>
    <x:row r="334">
      <x:c r="H334" s="16"/>
      <x:c r="K334" s="10"/>
      <x:c r="M334" s="12"/>
      <x:c r="N334" s="18"/>
      <x:c r="O334" s="18"/>
    </x:row>
    <x:row r="335">
      <x:c r="H335" s="16"/>
      <x:c r="K335" s="10"/>
      <x:c r="M335" s="12"/>
      <x:c r="N335" s="18"/>
      <x:c r="O335" s="18"/>
    </x:row>
    <x:row r="336">
      <x:c r="H336" s="16"/>
      <x:c r="K336" s="10"/>
      <x:c r="M336" s="12"/>
      <x:c r="N336" s="18"/>
      <x:c r="O336" s="18"/>
    </x:row>
    <x:row r="337">
      <x:c r="H337" s="16"/>
      <x:c r="K337" s="10"/>
      <x:c r="M337" s="12"/>
      <x:c r="N337" s="18"/>
      <x:c r="O337" s="18"/>
    </x:row>
    <x:row r="338">
      <x:c r="H338" s="16"/>
      <x:c r="K338" s="10"/>
      <x:c r="M338" s="12"/>
      <x:c r="N338" s="18"/>
      <x:c r="O338" s="18"/>
    </x:row>
    <x:row r="339">
      <x:c r="H339" s="16"/>
      <x:c r="K339" s="10"/>
      <x:c r="M339" s="12"/>
      <x:c r="N339" s="18"/>
      <x:c r="O339" s="18"/>
    </x:row>
    <x:row r="340">
      <x:c r="H340" s="16"/>
      <x:c r="K340" s="10"/>
      <x:c r="M340" s="12"/>
      <x:c r="N340" s="18"/>
      <x:c r="O340" s="18"/>
    </x:row>
    <x:row r="341">
      <x:c r="H341" s="16"/>
      <x:c r="K341" s="10"/>
      <x:c r="M341" s="12"/>
      <x:c r="N341" s="18"/>
      <x:c r="O341" s="18"/>
    </x:row>
    <x:row r="342">
      <x:c r="H342" s="16"/>
      <x:c r="K342" s="10"/>
      <x:c r="M342" s="12"/>
      <x:c r="N342" s="18"/>
      <x:c r="O342" s="18"/>
    </x:row>
    <x:row r="343">
      <x:c r="H343" s="16"/>
      <x:c r="K343" s="10"/>
      <x:c r="M343" s="12"/>
      <x:c r="N343" s="18"/>
      <x:c r="O343" s="18"/>
    </x:row>
    <x:row r="344">
      <x:c r="H344" s="16"/>
      <x:c r="K344" s="10"/>
      <x:c r="M344" s="12"/>
      <x:c r="N344" s="18"/>
      <x:c r="O344" s="18"/>
    </x:row>
    <x:row r="345">
      <x:c r="H345" s="16"/>
      <x:c r="K345" s="10"/>
      <x:c r="M345" s="12"/>
      <x:c r="N345" s="18"/>
      <x:c r="O345" s="18"/>
    </x:row>
    <x:row r="346">
      <x:c r="H346" s="16"/>
      <x:c r="K346" s="10"/>
      <x:c r="M346" s="12"/>
      <x:c r="N346" s="18"/>
      <x:c r="O346" s="18"/>
    </x:row>
    <x:row r="347">
      <x:c r="H347" s="16"/>
      <x:c r="K347" s="10"/>
      <x:c r="M347" s="12"/>
      <x:c r="N347" s="18"/>
      <x:c r="O347" s="18"/>
    </x:row>
    <x:row r="348">
      <x:c r="H348" s="16"/>
      <x:c r="K348" s="10"/>
      <x:c r="M348" s="12"/>
      <x:c r="N348" s="18"/>
      <x:c r="O348" s="18"/>
    </x:row>
    <x:row r="349">
      <x:c r="H349" s="16"/>
      <x:c r="K349" s="10"/>
      <x:c r="M349" s="12"/>
      <x:c r="N349" s="18"/>
      <x:c r="O349" s="18"/>
    </x:row>
    <x:row r="350">
      <x:c r="H350" s="16"/>
      <x:c r="K350" s="10"/>
      <x:c r="M350" s="12"/>
      <x:c r="N350" s="18"/>
      <x:c r="O350" s="18"/>
    </x:row>
    <x:row r="351">
      <x:c r="H351" s="16"/>
      <x:c r="K351" s="10"/>
      <x:c r="M351" s="12"/>
      <x:c r="N351" s="18"/>
      <x:c r="O351" s="18"/>
    </x:row>
    <x:row r="352">
      <x:c r="H352" s="16"/>
      <x:c r="K352" s="10"/>
      <x:c r="M352" s="12"/>
      <x:c r="N352" s="18"/>
      <x:c r="O352" s="18"/>
    </x:row>
    <x:row r="353">
      <x:c r="H353" s="16"/>
      <x:c r="K353" s="10"/>
      <x:c r="M353" s="12"/>
      <x:c r="N353" s="18"/>
      <x:c r="O353" s="18"/>
    </x:row>
    <x:row r="354">
      <x:c r="H354" s="16"/>
      <x:c r="K354" s="10"/>
      <x:c r="M354" s="12"/>
      <x:c r="N354" s="18"/>
      <x:c r="O354" s="18"/>
    </x:row>
    <x:row r="355">
      <x:c r="H355" s="16"/>
      <x:c r="K355" s="10"/>
      <x:c r="M355" s="12"/>
      <x:c r="N355" s="18"/>
      <x:c r="O355" s="18"/>
    </x:row>
    <x:row r="356">
      <x:c r="H356" s="16"/>
      <x:c r="K356" s="10"/>
      <x:c r="M356" s="12"/>
      <x:c r="N356" s="18"/>
      <x:c r="O356" s="18"/>
    </x:row>
    <x:row r="357">
      <x:c r="H357" s="16"/>
      <x:c r="K357" s="10"/>
      <x:c r="M357" s="12"/>
      <x:c r="N357" s="18"/>
      <x:c r="O357" s="18"/>
    </x:row>
    <x:row r="358">
      <x:c r="H358" s="16"/>
      <x:c r="K358" s="10"/>
      <x:c r="M358" s="12"/>
      <x:c r="N358" s="18"/>
      <x:c r="O358" s="18"/>
    </x:row>
    <x:row r="359">
      <x:c r="H359" s="16"/>
      <x:c r="K359" s="10"/>
      <x:c r="M359" s="12"/>
      <x:c r="N359" s="18"/>
      <x:c r="O359" s="18"/>
    </x:row>
    <x:row r="360">
      <x:c r="H360" s="16"/>
      <x:c r="K360" s="10"/>
      <x:c r="M360" s="12"/>
      <x:c r="N360" s="18"/>
      <x:c r="O360" s="18"/>
    </x:row>
    <x:row r="361">
      <x:c r="H361" s="16"/>
      <x:c r="K361" s="10"/>
      <x:c r="M361" s="12"/>
      <x:c r="N361" s="18"/>
      <x:c r="O361" s="18"/>
    </x:row>
    <x:row r="362">
      <x:c r="H362" s="16"/>
      <x:c r="K362" s="10"/>
      <x:c r="M362" s="12"/>
      <x:c r="N362" s="18"/>
      <x:c r="O362" s="18"/>
    </x:row>
    <x:row r="363">
      <x:c r="H363" s="16"/>
      <x:c r="K363" s="10"/>
      <x:c r="M363" s="12"/>
      <x:c r="N363" s="18"/>
      <x:c r="O363" s="18"/>
    </x:row>
    <x:row r="364">
      <x:c r="H364" s="16"/>
      <x:c r="K364" s="10"/>
      <x:c r="M364" s="12"/>
      <x:c r="N364" s="18"/>
      <x:c r="O364" s="18"/>
    </x:row>
    <x:row r="365">
      <x:c r="H365" s="16"/>
      <x:c r="K365" s="10"/>
      <x:c r="M365" s="12"/>
      <x:c r="N365" s="18"/>
      <x:c r="O365" s="18"/>
    </x:row>
    <x:row r="366">
      <x:c r="H366" s="16"/>
      <x:c r="K366" s="10"/>
      <x:c r="M366" s="12"/>
      <x:c r="N366" s="18"/>
      <x:c r="O366" s="18"/>
    </x:row>
    <x:row r="367">
      <x:c r="H367" s="16"/>
      <x:c r="K367" s="10"/>
      <x:c r="M367" s="12"/>
      <x:c r="N367" s="18"/>
      <x:c r="O367" s="18"/>
    </x:row>
    <x:row r="368">
      <x:c r="H368" s="16"/>
      <x:c r="K368" s="10"/>
      <x:c r="M368" s="12"/>
      <x:c r="N368" s="18"/>
      <x:c r="O368" s="18"/>
    </x:row>
    <x:row r="369">
      <x:c r="H369" s="16"/>
      <x:c r="K369" s="10"/>
      <x:c r="M369" s="12"/>
      <x:c r="N369" s="18"/>
      <x:c r="O369" s="18"/>
    </x:row>
    <x:row r="370">
      <x:c r="H370" s="16"/>
      <x:c r="K370" s="10"/>
      <x:c r="M370" s="12"/>
      <x:c r="N370" s="18"/>
      <x:c r="O370" s="18"/>
    </x:row>
    <x:row r="371">
      <x:c r="H371" s="16"/>
      <x:c r="K371" s="10"/>
      <x:c r="M371" s="12"/>
      <x:c r="N371" s="18"/>
      <x:c r="O371" s="18"/>
    </x:row>
    <x:row r="372">
      <x:c r="H372" s="16"/>
      <x:c r="K372" s="10"/>
      <x:c r="M372" s="12"/>
      <x:c r="N372" s="18"/>
      <x:c r="O372" s="18"/>
    </x:row>
    <x:row r="373">
      <x:c r="H373" s="16"/>
      <x:c r="K373" s="10"/>
      <x:c r="M373" s="12"/>
      <x:c r="N373" s="18"/>
      <x:c r="O373" s="18"/>
    </x:row>
    <x:row r="374">
      <x:c r="H374" s="16"/>
      <x:c r="K374" s="10"/>
      <x:c r="M374" s="12"/>
      <x:c r="N374" s="18"/>
      <x:c r="O374" s="18"/>
    </x:row>
    <x:row r="375">
      <x:c r="H375" s="16"/>
      <x:c r="K375" s="10"/>
      <x:c r="M375" s="12"/>
      <x:c r="N375" s="18"/>
      <x:c r="O375" s="18"/>
    </x:row>
    <x:row r="376">
      <x:c r="H376" s="16"/>
      <x:c r="K376" s="10"/>
      <x:c r="M376" s="12"/>
      <x:c r="N376" s="18"/>
      <x:c r="O376" s="18"/>
    </x:row>
    <x:row r="377">
      <x:c r="H377" s="16"/>
      <x:c r="K377" s="10"/>
      <x:c r="M377" s="12"/>
      <x:c r="N377" s="18"/>
      <x:c r="O377" s="18"/>
    </x:row>
    <x:row r="378">
      <x:c r="H378" s="16"/>
      <x:c r="K378" s="10"/>
      <x:c r="M378" s="12"/>
      <x:c r="N378" s="18"/>
      <x:c r="O378" s="18"/>
    </x:row>
    <x:row r="379">
      <x:c r="H379" s="16"/>
      <x:c r="K379" s="10"/>
      <x:c r="M379" s="12"/>
      <x:c r="N379" s="18"/>
      <x:c r="O379" s="18"/>
    </x:row>
    <x:row r="380">
      <x:c r="H380" s="16"/>
      <x:c r="K380" s="10"/>
      <x:c r="M380" s="12"/>
      <x:c r="N380" s="18"/>
      <x:c r="O380" s="18"/>
    </x:row>
    <x:row r="381">
      <x:c r="H381" s="16"/>
      <x:c r="K381" s="10"/>
      <x:c r="M381" s="12"/>
      <x:c r="N381" s="18"/>
      <x:c r="O381" s="18"/>
    </x:row>
    <x:row r="382">
      <x:c r="H382" s="16"/>
      <x:c r="K382" s="10"/>
      <x:c r="M382" s="12"/>
      <x:c r="N382" s="18"/>
      <x:c r="O382" s="18"/>
    </x:row>
    <x:row r="383">
      <x:c r="H383" s="16"/>
      <x:c r="K383" s="10"/>
      <x:c r="M383" s="12"/>
      <x:c r="N383" s="18"/>
      <x:c r="O383" s="18"/>
    </x:row>
    <x:row r="384">
      <x:c r="H384" s="16"/>
      <x:c r="K384" s="10"/>
      <x:c r="M384" s="12"/>
      <x:c r="N384" s="18"/>
      <x:c r="O384" s="18"/>
    </x:row>
    <x:row r="385">
      <x:c r="H385" s="16"/>
      <x:c r="K385" s="10"/>
      <x:c r="M385" s="12"/>
      <x:c r="N385" s="18"/>
      <x:c r="O385" s="18"/>
    </x:row>
    <x:row r="386">
      <x:c r="H386" s="16"/>
      <x:c r="K386" s="10"/>
      <x:c r="M386" s="12"/>
      <x:c r="N386" s="18"/>
      <x:c r="O386" s="18"/>
    </x:row>
    <x:row r="387">
      <x:c r="H387" s="16"/>
      <x:c r="K387" s="10"/>
      <x:c r="M387" s="12"/>
      <x:c r="N387" s="18"/>
      <x:c r="O387" s="18"/>
    </x:row>
    <x:row r="388">
      <x:c r="H388" s="16"/>
      <x:c r="K388" s="10"/>
      <x:c r="M388" s="12"/>
      <x:c r="N388" s="18"/>
      <x:c r="O388" s="18"/>
    </x:row>
    <x:row r="389">
      <x:c r="H389" s="16"/>
      <x:c r="K389" s="10"/>
      <x:c r="M389" s="12"/>
      <x:c r="N389" s="18"/>
      <x:c r="O389" s="18"/>
    </x:row>
    <x:row r="390">
      <x:c r="H390" s="16"/>
      <x:c r="K390" s="10"/>
      <x:c r="M390" s="12"/>
      <x:c r="N390" s="18"/>
      <x:c r="O390" s="18"/>
    </x:row>
    <x:row r="391">
      <x:c r="H391" s="16"/>
      <x:c r="K391" s="10"/>
      <x:c r="M391" s="12"/>
      <x:c r="N391" s="18"/>
      <x:c r="O391" s="18"/>
    </x:row>
    <x:row r="392">
      <x:c r="H392" s="16"/>
      <x:c r="K392" s="10"/>
      <x:c r="M392" s="12"/>
      <x:c r="N392" s="18"/>
      <x:c r="O392" s="18"/>
    </x:row>
    <x:row r="393">
      <x:c r="H393" s="16"/>
      <x:c r="K393" s="10"/>
      <x:c r="M393" s="12"/>
      <x:c r="N393" s="18"/>
      <x:c r="O393" s="18"/>
    </x:row>
    <x:row r="394">
      <x:c r="H394" s="16"/>
      <x:c r="K394" s="10"/>
      <x:c r="M394" s="12"/>
      <x:c r="N394" s="18"/>
      <x:c r="O394" s="18"/>
    </x:row>
    <x:row r="395">
      <x:c r="H395" s="16"/>
      <x:c r="K395" s="10"/>
      <x:c r="M395" s="12"/>
      <x:c r="N395" s="18"/>
      <x:c r="O395" s="18"/>
    </x:row>
    <x:row r="396">
      <x:c r="H396" s="16"/>
      <x:c r="K396" s="10"/>
      <x:c r="M396" s="12"/>
      <x:c r="N396" s="18"/>
      <x:c r="O396" s="18"/>
    </x:row>
    <x:row r="397">
      <x:c r="H397" s="16"/>
      <x:c r="K397" s="10"/>
      <x:c r="M397" s="12"/>
      <x:c r="N397" s="18"/>
      <x:c r="O397" s="18"/>
    </x:row>
    <x:row r="398">
      <x:c r="H398" s="16"/>
      <x:c r="K398" s="10"/>
      <x:c r="M398" s="12"/>
      <x:c r="N398" s="18"/>
      <x:c r="O398" s="18"/>
    </x:row>
    <x:row r="399">
      <x:c r="H399" s="16"/>
      <x:c r="K399" s="10"/>
      <x:c r="M399" s="12"/>
      <x:c r="N399" s="18"/>
      <x:c r="O399" s="18"/>
    </x:row>
    <x:row r="400">
      <x:c r="H400" s="16"/>
      <x:c r="K400" s="10"/>
      <x:c r="M400" s="12"/>
      <x:c r="N400" s="18"/>
      <x:c r="O400" s="18"/>
    </x:row>
    <x:row r="401">
      <x:c r="H401" s="16"/>
      <x:c r="K401" s="10"/>
      <x:c r="M401" s="12"/>
      <x:c r="N401" s="18"/>
      <x:c r="O401" s="18"/>
    </x:row>
    <x:row r="402">
      <x:c r="H402" s="16"/>
      <x:c r="K402" s="10"/>
      <x:c r="M402" s="12"/>
      <x:c r="N402" s="18"/>
      <x:c r="O402" s="18"/>
    </x:row>
    <x:row r="403">
      <x:c r="H403" s="16"/>
      <x:c r="K403" s="10"/>
      <x:c r="M403" s="12"/>
      <x:c r="N403" s="18"/>
      <x:c r="O403" s="18"/>
    </x:row>
    <x:row r="404">
      <x:c r="H404" s="16"/>
      <x:c r="K404" s="10"/>
      <x:c r="M404" s="12"/>
      <x:c r="N404" s="18"/>
      <x:c r="O404" s="18"/>
    </x:row>
    <x:row r="405">
      <x:c r="H405" s="16"/>
      <x:c r="K405" s="10"/>
      <x:c r="M405" s="12"/>
      <x:c r="N405" s="18"/>
      <x:c r="O405" s="18"/>
    </x:row>
    <x:row r="406">
      <x:c r="H406" s="16"/>
      <x:c r="K406" s="10"/>
      <x:c r="M406" s="12"/>
      <x:c r="N406" s="18"/>
      <x:c r="O406" s="18"/>
    </x:row>
    <x:row r="407">
      <x:c r="H407" s="16"/>
      <x:c r="K407" s="10"/>
      <x:c r="M407" s="12"/>
      <x:c r="N407" s="18"/>
      <x:c r="O407" s="18"/>
    </x:row>
    <x:row r="408">
      <x:c r="H408" s="16"/>
      <x:c r="K408" s="10"/>
      <x:c r="M408" s="12"/>
      <x:c r="N408" s="18"/>
      <x:c r="O408" s="18"/>
    </x:row>
    <x:row r="409">
      <x:c r="H409" s="16"/>
      <x:c r="K409" s="10"/>
      <x:c r="M409" s="12"/>
      <x:c r="N409" s="18"/>
      <x:c r="O409" s="18"/>
    </x:row>
    <x:row r="410">
      <x:c r="H410" s="16"/>
      <x:c r="K410" s="10"/>
      <x:c r="M410" s="12"/>
      <x:c r="N410" s="18"/>
      <x:c r="O410" s="18"/>
    </x:row>
    <x:row r="411">
      <x:c r="H411" s="16"/>
      <x:c r="K411" s="10"/>
      <x:c r="M411" s="12"/>
      <x:c r="N411" s="18"/>
      <x:c r="O411" s="18"/>
    </x:row>
    <x:row r="412">
      <x:c r="H412" s="16"/>
      <x:c r="K412" s="10"/>
      <x:c r="M412" s="12"/>
      <x:c r="N412" s="18"/>
      <x:c r="O412" s="18"/>
    </x:row>
    <x:row r="413">
      <x:c r="H413" s="16"/>
      <x:c r="K413" s="10"/>
      <x:c r="M413" s="12"/>
      <x:c r="N413" s="18"/>
      <x:c r="O413" s="18"/>
    </x:row>
    <x:row r="414">
      <x:c r="H414" s="16"/>
      <x:c r="K414" s="10"/>
      <x:c r="M414" s="12"/>
      <x:c r="N414" s="18"/>
      <x:c r="O414" s="18"/>
    </x:row>
    <x:row r="415">
      <x:c r="H415" s="16"/>
      <x:c r="K415" s="10"/>
      <x:c r="M415" s="12"/>
      <x:c r="N415" s="18"/>
      <x:c r="O415" s="18"/>
    </x:row>
    <x:row r="416">
      <x:c r="H416" s="16"/>
      <x:c r="K416" s="10"/>
      <x:c r="M416" s="12"/>
      <x:c r="N416" s="18"/>
      <x:c r="O416" s="18"/>
    </x:row>
    <x:row r="417">
      <x:c r="H417" s="16"/>
      <x:c r="K417" s="10"/>
      <x:c r="M417" s="12"/>
      <x:c r="N417" s="18"/>
      <x:c r="O417" s="18"/>
    </x:row>
    <x:row r="418">
      <x:c r="H418" s="16"/>
      <x:c r="K418" s="10"/>
      <x:c r="M418" s="12"/>
      <x:c r="N418" s="18"/>
      <x:c r="O418" s="18"/>
    </x:row>
    <x:row r="419">
      <x:c r="H419" s="16"/>
      <x:c r="K419" s="10"/>
      <x:c r="M419" s="12"/>
      <x:c r="N419" s="18"/>
      <x:c r="O419" s="18"/>
    </x:row>
    <x:row r="420">
      <x:c r="H420" s="16"/>
      <x:c r="K420" s="10"/>
      <x:c r="M420" s="12"/>
      <x:c r="N420" s="18"/>
      <x:c r="O420" s="18"/>
    </x:row>
    <x:row r="421">
      <x:c r="H421" s="16"/>
      <x:c r="K421" s="10"/>
      <x:c r="M421" s="12"/>
      <x:c r="N421" s="18"/>
      <x:c r="O421" s="18"/>
    </x:row>
    <x:row r="422">
      <x:c r="H422" s="16"/>
      <x:c r="K422" s="10"/>
      <x:c r="M422" s="12"/>
      <x:c r="N422" s="18"/>
      <x:c r="O422" s="18"/>
    </x:row>
    <x:row r="423">
      <x:c r="H423" s="16"/>
      <x:c r="K423" s="10"/>
      <x:c r="M423" s="12"/>
      <x:c r="N423" s="18"/>
      <x:c r="O423" s="18"/>
    </x:row>
    <x:row r="424">
      <x:c r="H424" s="16"/>
      <x:c r="K424" s="10"/>
      <x:c r="M424" s="12"/>
      <x:c r="N424" s="18"/>
      <x:c r="O424" s="18"/>
    </x:row>
    <x:row r="425">
      <x:c r="H425" s="16"/>
      <x:c r="K425" s="10"/>
      <x:c r="M425" s="12"/>
      <x:c r="N425" s="18"/>
      <x:c r="O425" s="18"/>
    </x:row>
    <x:row r="426">
      <x:c r="H426" s="16"/>
      <x:c r="K426" s="10"/>
      <x:c r="M426" s="12"/>
      <x:c r="N426" s="18"/>
      <x:c r="O426" s="18"/>
    </x:row>
    <x:row r="427">
      <x:c r="H427" s="16"/>
      <x:c r="K427" s="10"/>
      <x:c r="M427" s="12"/>
      <x:c r="N427" s="18"/>
      <x:c r="O427" s="18"/>
    </x:row>
    <x:row r="428">
      <x:c r="H428" s="16"/>
      <x:c r="K428" s="10"/>
      <x:c r="M428" s="12"/>
      <x:c r="N428" s="18"/>
      <x:c r="O428" s="18"/>
    </x:row>
    <x:row r="429">
      <x:c r="H429" s="16"/>
      <x:c r="K429" s="10"/>
      <x:c r="M429" s="12"/>
      <x:c r="N429" s="18"/>
      <x:c r="O429" s="18"/>
    </x:row>
    <x:row r="430">
      <x:c r="H430" s="16"/>
      <x:c r="K430" s="10"/>
      <x:c r="M430" s="12"/>
      <x:c r="N430" s="18"/>
      <x:c r="O430" s="18"/>
    </x:row>
    <x:row r="431">
      <x:c r="H431" s="16"/>
      <x:c r="K431" s="10"/>
      <x:c r="M431" s="12"/>
      <x:c r="N431" s="18"/>
      <x:c r="O431" s="18"/>
    </x:row>
    <x:row r="432">
      <x:c r="H432" s="16"/>
      <x:c r="K432" s="10"/>
      <x:c r="M432" s="12"/>
      <x:c r="N432" s="18"/>
      <x:c r="O432" s="18"/>
    </x:row>
    <x:row r="433">
      <x:c r="H433" s="16"/>
      <x:c r="K433" s="10"/>
      <x:c r="M433" s="12"/>
      <x:c r="N433" s="18"/>
      <x:c r="O433" s="18"/>
    </x:row>
    <x:row r="434">
      <x:c r="H434" s="16"/>
      <x:c r="K434" s="10"/>
      <x:c r="M434" s="12"/>
      <x:c r="N434" s="18"/>
      <x:c r="O434" s="18"/>
    </x:row>
    <x:row r="435">
      <x:c r="H435" s="16"/>
      <x:c r="K435" s="10"/>
      <x:c r="M435" s="12"/>
      <x:c r="N435" s="18"/>
      <x:c r="O435" s="18"/>
    </x:row>
    <x:row r="436">
      <x:c r="H436" s="16"/>
      <x:c r="K436" s="10"/>
      <x:c r="M436" s="12"/>
      <x:c r="N436" s="18"/>
      <x:c r="O436" s="18"/>
    </x:row>
    <x:row r="437">
      <x:c r="H437" s="16"/>
      <x:c r="K437" s="10"/>
      <x:c r="M437" s="12"/>
      <x:c r="N437" s="18"/>
      <x:c r="O437" s="18"/>
    </x:row>
    <x:row r="438">
      <x:c r="H438" s="16"/>
      <x:c r="K438" s="10"/>
      <x:c r="M438" s="12"/>
      <x:c r="N438" s="18"/>
      <x:c r="O438" s="18"/>
    </x:row>
    <x:row r="439">
      <x:c r="H439" s="16"/>
      <x:c r="K439" s="10"/>
      <x:c r="M439" s="12"/>
      <x:c r="N439" s="18"/>
      <x:c r="O439" s="18"/>
    </x:row>
    <x:row r="440">
      <x:c r="H440" s="16"/>
      <x:c r="K440" s="10"/>
      <x:c r="M440" s="12"/>
      <x:c r="N440" s="18"/>
      <x:c r="O440" s="18"/>
    </x:row>
    <x:row r="441">
      <x:c r="H441" s="16"/>
      <x:c r="K441" s="10"/>
      <x:c r="M441" s="12"/>
      <x:c r="N441" s="18"/>
      <x:c r="O441" s="18"/>
    </x:row>
    <x:row r="442">
      <x:c r="H442" s="16"/>
      <x:c r="K442" s="10"/>
      <x:c r="M442" s="12"/>
      <x:c r="N442" s="18"/>
      <x:c r="O442" s="18"/>
    </x:row>
    <x:row r="443">
      <x:c r="H443" s="16"/>
      <x:c r="K443" s="10"/>
      <x:c r="M443" s="12"/>
      <x:c r="N443" s="18"/>
      <x:c r="O443" s="18"/>
    </x:row>
    <x:row r="444">
      <x:c r="H444" s="16"/>
      <x:c r="K444" s="10"/>
      <x:c r="M444" s="12"/>
      <x:c r="N444" s="18"/>
      <x:c r="O444" s="18"/>
    </x:row>
    <x:row r="445">
      <x:c r="H445" s="16"/>
      <x:c r="K445" s="10"/>
      <x:c r="M445" s="12"/>
      <x:c r="N445" s="18"/>
      <x:c r="O445" s="18"/>
    </x:row>
    <x:row r="446">
      <x:c r="H446" s="16"/>
      <x:c r="K446" s="10"/>
      <x:c r="M446" s="12"/>
      <x:c r="N446" s="18"/>
      <x:c r="O446" s="18"/>
    </x:row>
    <x:row r="447">
      <x:c r="H447" s="16"/>
      <x:c r="K447" s="10"/>
      <x:c r="M447" s="12"/>
      <x:c r="N447" s="18"/>
      <x:c r="O447" s="18"/>
    </x:row>
    <x:row r="448">
      <x:c r="H448" s="16"/>
      <x:c r="K448" s="10"/>
      <x:c r="M448" s="12"/>
      <x:c r="N448" s="18"/>
      <x:c r="O448" s="18"/>
    </x:row>
    <x:row r="449">
      <x:c r="H449" s="16"/>
      <x:c r="K449" s="10"/>
      <x:c r="M449" s="12"/>
      <x:c r="N449" s="18"/>
      <x:c r="O449" s="18"/>
    </x:row>
    <x:row r="450">
      <x:c r="H450" s="16"/>
      <x:c r="K450" s="10"/>
      <x:c r="M450" s="12"/>
      <x:c r="N450" s="18"/>
      <x:c r="O450" s="18"/>
    </x:row>
    <x:row r="451">
      <x:c r="H451" s="16"/>
      <x:c r="K451" s="10"/>
      <x:c r="M451" s="12"/>
      <x:c r="N451" s="18"/>
      <x:c r="O451" s="18"/>
    </x:row>
    <x:row r="452">
      <x:c r="H452" s="16"/>
      <x:c r="K452" s="10"/>
      <x:c r="M452" s="12"/>
      <x:c r="N452" s="18"/>
      <x:c r="O452" s="18"/>
    </x:row>
    <x:row r="453">
      <x:c r="H453" s="16"/>
      <x:c r="K453" s="10"/>
      <x:c r="M453" s="12"/>
      <x:c r="N453" s="18"/>
      <x:c r="O453" s="18"/>
    </x:row>
    <x:row r="454">
      <x:c r="H454" s="16"/>
      <x:c r="K454" s="10"/>
      <x:c r="M454" s="12"/>
      <x:c r="N454" s="18"/>
      <x:c r="O454" s="18"/>
    </x:row>
    <x:row r="455">
      <x:c r="H455" s="16"/>
      <x:c r="K455" s="10"/>
      <x:c r="M455" s="12"/>
      <x:c r="N455" s="18"/>
      <x:c r="O455" s="18"/>
    </x:row>
    <x:row r="456">
      <x:c r="H456" s="16"/>
      <x:c r="K456" s="10"/>
      <x:c r="M456" s="12"/>
      <x:c r="N456" s="18"/>
      <x:c r="O456" s="18"/>
    </x:row>
    <x:row r="457">
      <x:c r="H457" s="16"/>
      <x:c r="K457" s="10"/>
      <x:c r="M457" s="12"/>
      <x:c r="N457" s="18"/>
      <x:c r="O457" s="18"/>
    </x:row>
    <x:row r="458">
      <x:c r="H458" s="16"/>
      <x:c r="K458" s="10"/>
      <x:c r="M458" s="12"/>
      <x:c r="N458" s="18"/>
      <x:c r="O458" s="18"/>
    </x:row>
    <x:row r="459">
      <x:c r="H459" s="16"/>
      <x:c r="K459" s="10"/>
      <x:c r="M459" s="12"/>
      <x:c r="N459" s="18"/>
      <x:c r="O459" s="18"/>
    </x:row>
    <x:row r="460">
      <x:c r="H460" s="16"/>
      <x:c r="K460" s="10"/>
      <x:c r="M460" s="12"/>
      <x:c r="N460" s="18"/>
      <x:c r="O460" s="18"/>
    </x:row>
    <x:row r="461">
      <x:c r="H461" s="16"/>
      <x:c r="K461" s="10"/>
      <x:c r="M461" s="12"/>
      <x:c r="N461" s="18"/>
      <x:c r="O461" s="18"/>
    </x:row>
    <x:row r="462">
      <x:c r="H462" s="16"/>
      <x:c r="K462" s="10"/>
      <x:c r="M462" s="12"/>
      <x:c r="N462" s="18"/>
      <x:c r="O462" s="18"/>
    </x:row>
    <x:row r="463">
      <x:c r="H463" s="16"/>
      <x:c r="K463" s="10"/>
      <x:c r="M463" s="12"/>
      <x:c r="N463" s="18"/>
      <x:c r="O463" s="18"/>
    </x:row>
    <x:row r="464">
      <x:c r="H464" s="16"/>
      <x:c r="K464" s="10"/>
      <x:c r="M464" s="12"/>
      <x:c r="N464" s="18"/>
      <x:c r="O464" s="18"/>
    </x:row>
    <x:row r="465">
      <x:c r="H465" s="16"/>
      <x:c r="K465" s="10"/>
      <x:c r="M465" s="12"/>
      <x:c r="N465" s="18"/>
      <x:c r="O465" s="18"/>
    </x:row>
    <x:row r="466">
      <x:c r="H466" s="16"/>
      <x:c r="K466" s="10"/>
      <x:c r="M466" s="12"/>
      <x:c r="N466" s="18"/>
      <x:c r="O466" s="18"/>
    </x:row>
    <x:row r="467">
      <x:c r="H467" s="16"/>
      <x:c r="K467" s="10"/>
      <x:c r="M467" s="12"/>
      <x:c r="N467" s="18"/>
      <x:c r="O467" s="18"/>
    </x:row>
    <x:row r="468">
      <x:c r="H468" s="16"/>
      <x:c r="K468" s="10"/>
      <x:c r="M468" s="12"/>
      <x:c r="N468" s="18"/>
      <x:c r="O468" s="18"/>
    </x:row>
    <x:row r="469">
      <x:c r="H469" s="16"/>
      <x:c r="K469" s="10"/>
      <x:c r="M469" s="12"/>
      <x:c r="N469" s="18"/>
      <x:c r="O469" s="18"/>
    </x:row>
    <x:row r="470">
      <x:c r="H470" s="16"/>
      <x:c r="K470" s="10"/>
      <x:c r="M470" s="12"/>
      <x:c r="N470" s="18"/>
      <x:c r="O470" s="18"/>
    </x:row>
    <x:row r="471">
      <x:c r="H471" s="16"/>
      <x:c r="K471" s="10"/>
      <x:c r="M471" s="12"/>
      <x:c r="N471" s="18"/>
      <x:c r="O471" s="18"/>
    </x:row>
    <x:row r="472">
      <x:c r="H472" s="16"/>
      <x:c r="K472" s="10"/>
      <x:c r="M472" s="12"/>
      <x:c r="N472" s="18"/>
      <x:c r="O472" s="18"/>
    </x:row>
    <x:row r="473">
      <x:c r="H473" s="16"/>
      <x:c r="K473" s="10"/>
      <x:c r="M473" s="12"/>
      <x:c r="N473" s="18"/>
      <x:c r="O473" s="18"/>
    </x:row>
    <x:row r="474">
      <x:c r="H474" s="16"/>
      <x:c r="K474" s="10"/>
      <x:c r="M474" s="12"/>
      <x:c r="N474" s="18"/>
      <x:c r="O474" s="18"/>
    </x:row>
    <x:row r="475">
      <x:c r="H475" s="16"/>
      <x:c r="K475" s="10"/>
      <x:c r="M475" s="12"/>
      <x:c r="N475" s="18"/>
      <x:c r="O475" s="18"/>
    </x:row>
    <x:row r="476">
      <x:c r="H476" s="16"/>
      <x:c r="K476" s="10"/>
      <x:c r="M476" s="12"/>
      <x:c r="N476" s="18"/>
      <x:c r="O476" s="18"/>
    </x:row>
    <x:row r="477">
      <x:c r="H477" s="16"/>
      <x:c r="K477" s="10"/>
      <x:c r="M477" s="12"/>
      <x:c r="N477" s="18"/>
      <x:c r="O477" s="18"/>
    </x:row>
    <x:row r="478">
      <x:c r="H478" s="16"/>
      <x:c r="K478" s="10"/>
      <x:c r="M478" s="12"/>
      <x:c r="N478" s="18"/>
      <x:c r="O478" s="18"/>
    </x:row>
    <x:row r="479">
      <x:c r="H479" s="16"/>
      <x:c r="K479" s="10"/>
      <x:c r="M479" s="12"/>
      <x:c r="N479" s="18"/>
      <x:c r="O479" s="18"/>
    </x:row>
    <x:row r="480">
      <x:c r="H480" s="16"/>
      <x:c r="K480" s="10"/>
      <x:c r="M480" s="12"/>
      <x:c r="N480" s="18"/>
      <x:c r="O480" s="18"/>
    </x:row>
    <x:row r="481">
      <x:c r="H481" s="16"/>
      <x:c r="K481" s="10"/>
      <x:c r="M481" s="12"/>
      <x:c r="N481" s="18"/>
      <x:c r="O481" s="18"/>
    </x:row>
    <x:row r="482">
      <x:c r="H482" s="16"/>
      <x:c r="K482" s="10"/>
      <x:c r="M482" s="12"/>
      <x:c r="N482" s="18"/>
      <x:c r="O482" s="18"/>
    </x:row>
    <x:row r="483">
      <x:c r="H483" s="16"/>
      <x:c r="K483" s="10"/>
      <x:c r="M483" s="12"/>
      <x:c r="N483" s="18"/>
      <x:c r="O483" s="18"/>
    </x:row>
    <x:row r="484">
      <x:c r="H484" s="16"/>
      <x:c r="K484" s="10"/>
      <x:c r="M484" s="12"/>
      <x:c r="N484" s="18"/>
      <x:c r="O484" s="18"/>
    </x:row>
    <x:row r="485">
      <x:c r="H485" s="16"/>
      <x:c r="K485" s="10"/>
      <x:c r="M485" s="12"/>
      <x:c r="N485" s="18"/>
      <x:c r="O485" s="18"/>
    </x:row>
    <x:row r="486">
      <x:c r="H486" s="16"/>
      <x:c r="K486" s="10"/>
      <x:c r="M486" s="12"/>
      <x:c r="N486" s="18"/>
      <x:c r="O486" s="18"/>
    </x:row>
    <x:row r="487">
      <x:c r="H487" s="16"/>
      <x:c r="K487" s="10"/>
      <x:c r="M487" s="12"/>
      <x:c r="N487" s="18"/>
      <x:c r="O487" s="18"/>
    </x:row>
    <x:row r="488">
      <x:c r="H488" s="16"/>
      <x:c r="K488" s="10"/>
      <x:c r="M488" s="12"/>
      <x:c r="N488" s="18"/>
      <x:c r="O488" s="18"/>
    </x:row>
    <x:row r="489">
      <x:c r="H489" s="16"/>
      <x:c r="K489" s="10"/>
      <x:c r="M489" s="12"/>
      <x:c r="N489" s="18"/>
      <x:c r="O489" s="18"/>
    </x:row>
    <x:row r="490">
      <x:c r="H490" s="16"/>
      <x:c r="K490" s="10"/>
      <x:c r="M490" s="12"/>
      <x:c r="N490" s="18"/>
      <x:c r="O490" s="18"/>
    </x:row>
    <x:row r="491">
      <x:c r="H491" s="16"/>
      <x:c r="K491" s="10"/>
      <x:c r="M491" s="12"/>
      <x:c r="N491" s="18"/>
      <x:c r="O491" s="18"/>
    </x:row>
    <x:row r="492">
      <x:c r="H492" s="16"/>
      <x:c r="K492" s="10"/>
      <x:c r="M492" s="12"/>
      <x:c r="N492" s="18"/>
      <x:c r="O492" s="18"/>
    </x:row>
    <x:row r="493">
      <x:c r="H493" s="16"/>
      <x:c r="K493" s="10"/>
      <x:c r="M493" s="12"/>
      <x:c r="N493" s="18"/>
      <x:c r="O493" s="18"/>
    </x:row>
    <x:row r="494">
      <x:c r="H494" s="16"/>
      <x:c r="K494" s="10"/>
      <x:c r="M494" s="12"/>
      <x:c r="N494" s="18"/>
      <x:c r="O494" s="18"/>
    </x:row>
    <x:row r="495">
      <x:c r="H495" s="16"/>
      <x:c r="K495" s="10"/>
      <x:c r="M495" s="12"/>
      <x:c r="N495" s="18"/>
      <x:c r="O495" s="18"/>
    </x:row>
    <x:row r="496">
      <x:c r="H496" s="16"/>
      <x:c r="K496" s="10"/>
      <x:c r="M496" s="12"/>
      <x:c r="N496" s="18"/>
      <x:c r="O496" s="18"/>
    </x:row>
    <x:row r="497">
      <x:c r="H497" s="16"/>
      <x:c r="K497" s="10"/>
      <x:c r="M497" s="12"/>
      <x:c r="N497" s="18"/>
      <x:c r="O497" s="18"/>
    </x:row>
    <x:row r="498">
      <x:c r="H498" s="16"/>
      <x:c r="K498" s="10"/>
      <x:c r="M498" s="12"/>
      <x:c r="N498" s="18"/>
      <x:c r="O498" s="18"/>
    </x:row>
    <x:row r="499">
      <x:c r="H499" s="16"/>
      <x:c r="K499" s="10"/>
      <x:c r="M499" s="12"/>
      <x:c r="N499" s="18"/>
      <x:c r="O499" s="18"/>
    </x:row>
    <x:row r="500">
      <x:c r="H500" s="16"/>
      <x:c r="K500" s="10"/>
      <x:c r="M500" s="12"/>
      <x:c r="N500" s="18"/>
      <x:c r="O500" s="18"/>
    </x:row>
    <x:row r="501">
      <x:c r="H501" s="16"/>
      <x:c r="K501" s="10"/>
      <x:c r="M501" s="12"/>
      <x:c r="N501" s="18"/>
      <x:c r="O501" s="18"/>
    </x:row>
    <x:row r="502">
      <x:c r="H502" s="16"/>
      <x:c r="K502" s="10"/>
      <x:c r="M502" s="12"/>
      <x:c r="N502" s="18"/>
      <x:c r="O502" s="18"/>
    </x:row>
    <x:row r="503">
      <x:c r="H503" s="16"/>
      <x:c r="K503" s="10"/>
      <x:c r="M503" s="12"/>
      <x:c r="N503" s="18"/>
      <x:c r="O503" s="18"/>
    </x:row>
    <x:row r="504">
      <x:c r="H504" s="16"/>
      <x:c r="K504" s="10"/>
      <x:c r="M504" s="12"/>
      <x:c r="N504" s="18"/>
      <x:c r="O504" s="18"/>
    </x:row>
    <x:row r="505">
      <x:c r="H505" s="16"/>
      <x:c r="K505" s="10"/>
      <x:c r="M505" s="12"/>
      <x:c r="N505" s="18"/>
      <x:c r="O505" s="18"/>
    </x:row>
    <x:row r="506">
      <x:c r="H506" s="16"/>
      <x:c r="K506" s="10"/>
      <x:c r="M506" s="12"/>
      <x:c r="N506" s="18"/>
      <x:c r="O506" s="18"/>
    </x:row>
    <x:row r="507">
      <x:c r="H507" s="16"/>
      <x:c r="K507" s="10"/>
      <x:c r="M507" s="12"/>
      <x:c r="N507" s="18"/>
      <x:c r="O507" s="18"/>
    </x:row>
    <x:row r="508">
      <x:c r="H508" s="16"/>
      <x:c r="K508" s="10"/>
      <x:c r="M508" s="12"/>
      <x:c r="N508" s="18"/>
      <x:c r="O508" s="18"/>
    </x:row>
    <x:row r="509">
      <x:c r="H509" s="16"/>
      <x:c r="K509" s="10"/>
      <x:c r="M509" s="12"/>
      <x:c r="N509" s="18"/>
      <x:c r="O509" s="18"/>
    </x:row>
    <x:row r="510">
      <x:c r="H510" s="16"/>
      <x:c r="K510" s="10"/>
      <x:c r="M510" s="12"/>
      <x:c r="N510" s="18"/>
      <x:c r="O510" s="18"/>
    </x:row>
    <x:row r="511">
      <x:c r="H511" s="16"/>
      <x:c r="K511" s="10"/>
      <x:c r="M511" s="12"/>
      <x:c r="N511" s="18"/>
      <x:c r="O511" s="18"/>
    </x:row>
    <x:row r="512">
      <x:c r="H512" s="16"/>
      <x:c r="K512" s="10"/>
      <x:c r="M512" s="12"/>
      <x:c r="N512" s="18"/>
      <x:c r="O512" s="18"/>
    </x:row>
    <x:row r="513">
      <x:c r="H513" s="16"/>
      <x:c r="K513" s="10"/>
      <x:c r="M513" s="12"/>
      <x:c r="N513" s="18"/>
      <x:c r="O513" s="18"/>
    </x:row>
    <x:row r="514">
      <x:c r="H514" s="16"/>
      <x:c r="K514" s="10"/>
      <x:c r="M514" s="12"/>
      <x:c r="N514" s="18"/>
      <x:c r="O514" s="18"/>
    </x:row>
    <x:row r="515">
      <x:c r="H515" s="16"/>
      <x:c r="K515" s="10"/>
      <x:c r="M515" s="12"/>
      <x:c r="N515" s="18"/>
      <x:c r="O515" s="18"/>
    </x:row>
    <x:row r="516">
      <x:c r="H516" s="16"/>
      <x:c r="K516" s="10"/>
      <x:c r="M516" s="12"/>
      <x:c r="N516" s="18"/>
      <x:c r="O516" s="18"/>
    </x:row>
    <x:row r="517">
      <x:c r="H517" s="16"/>
      <x:c r="K517" s="10"/>
      <x:c r="M517" s="12"/>
      <x:c r="N517" s="18"/>
      <x:c r="O517" s="18"/>
    </x:row>
    <x:row r="518">
      <x:c r="H518" s="16"/>
      <x:c r="K518" s="10"/>
      <x:c r="M518" s="12"/>
      <x:c r="N518" s="18"/>
      <x:c r="O518" s="18"/>
    </x:row>
    <x:row r="519">
      <x:c r="H519" s="16"/>
      <x:c r="K519" s="10"/>
      <x:c r="M519" s="12"/>
      <x:c r="N519" s="18"/>
      <x:c r="O519" s="18"/>
    </x:row>
    <x:row r="520">
      <x:c r="H520" s="16"/>
      <x:c r="K520" s="10"/>
      <x:c r="M520" s="12"/>
      <x:c r="N520" s="18"/>
      <x:c r="O520" s="18"/>
    </x:row>
    <x:row r="521">
      <x:c r="H521" s="16"/>
      <x:c r="K521" s="10"/>
      <x:c r="M521" s="12"/>
      <x:c r="N521" s="18"/>
      <x:c r="O521" s="18"/>
    </x:row>
    <x:row r="522">
      <x:c r="H522" s="16"/>
      <x:c r="K522" s="10"/>
      <x:c r="M522" s="12"/>
      <x:c r="N522" s="18"/>
      <x:c r="O522" s="18"/>
    </x:row>
    <x:row r="523">
      <x:c r="H523" s="16"/>
      <x:c r="K523" s="10"/>
      <x:c r="M523" s="12"/>
      <x:c r="N523" s="18"/>
      <x:c r="O523" s="18"/>
    </x:row>
    <x:row r="524">
      <x:c r="H524" s="16"/>
      <x:c r="K524" s="10"/>
      <x:c r="M524" s="12"/>
      <x:c r="N524" s="18"/>
      <x:c r="O524" s="18"/>
    </x:row>
    <x:row r="525">
      <x:c r="H525" s="16"/>
      <x:c r="K525" s="10"/>
      <x:c r="M525" s="12"/>
      <x:c r="N525" s="18"/>
      <x:c r="O525" s="18"/>
    </x:row>
    <x:row r="526">
      <x:c r="H526" s="16"/>
      <x:c r="K526" s="10"/>
      <x:c r="M526" s="12"/>
      <x:c r="N526" s="18"/>
      <x:c r="O526" s="18"/>
    </x:row>
    <x:row r="527">
      <x:c r="H527" s="16"/>
      <x:c r="K527" s="10"/>
      <x:c r="M527" s="12"/>
      <x:c r="N527" s="18"/>
      <x:c r="O527" s="18"/>
    </x:row>
    <x:row r="528">
      <x:c r="H528" s="16"/>
      <x:c r="K528" s="10"/>
      <x:c r="M528" s="12"/>
      <x:c r="N528" s="18"/>
      <x:c r="O528" s="18"/>
    </x:row>
    <x:row r="529">
      <x:c r="H529" s="16"/>
      <x:c r="K529" s="10"/>
      <x:c r="M529" s="12"/>
      <x:c r="N529" s="18"/>
      <x:c r="O529" s="18"/>
    </x:row>
    <x:row r="530">
      <x:c r="H530" s="16"/>
      <x:c r="K530" s="10"/>
      <x:c r="M530" s="12"/>
      <x:c r="N530" s="18"/>
      <x:c r="O530" s="18"/>
    </x:row>
    <x:row r="531">
      <x:c r="H531" s="16"/>
      <x:c r="K531" s="10"/>
      <x:c r="M531" s="12"/>
      <x:c r="N531" s="18"/>
      <x:c r="O531" s="18"/>
    </x:row>
    <x:row r="532">
      <x:c r="H532" s="16"/>
      <x:c r="K532" s="10"/>
      <x:c r="M532" s="12"/>
      <x:c r="N532" s="18"/>
      <x:c r="O532" s="18"/>
    </x:row>
    <x:row r="533">
      <x:c r="H533" s="16"/>
      <x:c r="K533" s="10"/>
      <x:c r="M533" s="12"/>
      <x:c r="N533" s="18"/>
      <x:c r="O533" s="18"/>
    </x:row>
    <x:row r="534">
      <x:c r="H534" s="16"/>
      <x:c r="K534" s="10"/>
      <x:c r="M534" s="12"/>
      <x:c r="N534" s="18"/>
      <x:c r="O534" s="18"/>
    </x:row>
    <x:row r="535">
      <x:c r="H535" s="16"/>
      <x:c r="K535" s="10"/>
      <x:c r="M535" s="12"/>
      <x:c r="N535" s="18"/>
      <x:c r="O535" s="18"/>
    </x:row>
    <x:row r="536">
      <x:c r="H536" s="16"/>
      <x:c r="K536" s="10"/>
      <x:c r="M536" s="12"/>
      <x:c r="N536" s="18"/>
      <x:c r="O536" s="18"/>
    </x:row>
    <x:row r="537">
      <x:c r="H537" s="16"/>
      <x:c r="K537" s="10"/>
      <x:c r="M537" s="12"/>
      <x:c r="N537" s="18"/>
      <x:c r="O537" s="18"/>
    </x:row>
    <x:row r="538">
      <x:c r="H538" s="16"/>
      <x:c r="K538" s="10"/>
      <x:c r="M538" s="12"/>
      <x:c r="N538" s="18"/>
      <x:c r="O538" s="18"/>
    </x:row>
    <x:row r="539">
      <x:c r="H539" s="16"/>
      <x:c r="K539" s="10"/>
      <x:c r="M539" s="12"/>
      <x:c r="N539" s="18"/>
      <x:c r="O539" s="18"/>
    </x:row>
    <x:row r="540">
      <x:c r="H540" s="16"/>
      <x:c r="K540" s="10"/>
      <x:c r="M540" s="12"/>
      <x:c r="N540" s="18"/>
      <x:c r="O540" s="18"/>
    </x:row>
    <x:row r="541">
      <x:c r="H541" s="16"/>
      <x:c r="K541" s="10"/>
      <x:c r="M541" s="12"/>
      <x:c r="N541" s="18"/>
      <x:c r="O541" s="18"/>
    </x:row>
    <x:row r="542">
      <x:c r="H542" s="16"/>
      <x:c r="K542" s="10"/>
      <x:c r="M542" s="12"/>
      <x:c r="N542" s="18"/>
      <x:c r="O542" s="18"/>
    </x:row>
    <x:row r="543">
      <x:c r="H543" s="16"/>
      <x:c r="K543" s="10"/>
      <x:c r="M543" s="12"/>
      <x:c r="N543" s="18"/>
      <x:c r="O543" s="18"/>
    </x:row>
    <x:row r="544">
      <x:c r="H544" s="16"/>
      <x:c r="K544" s="10"/>
      <x:c r="M544" s="12"/>
      <x:c r="N544" s="18"/>
      <x:c r="O544" s="18"/>
    </x:row>
    <x:row r="545">
      <x:c r="H545" s="16"/>
      <x:c r="K545" s="10"/>
      <x:c r="M545" s="12"/>
      <x:c r="N545" s="18"/>
      <x:c r="O545" s="18"/>
    </x:row>
    <x:row r="546">
      <x:c r="H546" s="16"/>
      <x:c r="K546" s="10"/>
      <x:c r="M546" s="12"/>
      <x:c r="N546" s="18"/>
      <x:c r="O546" s="18"/>
    </x:row>
    <x:row r="547">
      <x:c r="H547" s="16"/>
      <x:c r="K547" s="10"/>
      <x:c r="M547" s="12"/>
      <x:c r="N547" s="18"/>
      <x:c r="O547" s="18"/>
    </x:row>
    <x:row r="548">
      <x:c r="H548" s="16"/>
      <x:c r="K548" s="10"/>
      <x:c r="M548" s="12"/>
      <x:c r="N548" s="18"/>
      <x:c r="O548" s="18"/>
    </x:row>
    <x:row r="549">
      <x:c r="H549" s="16"/>
      <x:c r="K549" s="10"/>
      <x:c r="M549" s="12"/>
      <x:c r="N549" s="18"/>
      <x:c r="O549" s="18"/>
    </x:row>
    <x:row r="550">
      <x:c r="H550" s="16"/>
      <x:c r="K550" s="10"/>
      <x:c r="M550" s="12"/>
      <x:c r="N550" s="18"/>
      <x:c r="O550" s="18"/>
    </x:row>
    <x:row r="551">
      <x:c r="H551" s="16"/>
      <x:c r="K551" s="10"/>
      <x:c r="M551" s="12"/>
      <x:c r="N551" s="18"/>
      <x:c r="O551" s="18"/>
    </x:row>
    <x:row r="552">
      <x:c r="H552" s="16"/>
      <x:c r="K552" s="10"/>
      <x:c r="M552" s="12"/>
      <x:c r="N552" s="18"/>
      <x:c r="O552" s="18"/>
    </x:row>
    <x:row r="553">
      <x:c r="H553" s="16"/>
      <x:c r="K553" s="10"/>
      <x:c r="M553" s="12"/>
      <x:c r="N553" s="18"/>
      <x:c r="O553" s="18"/>
    </x:row>
    <x:row r="554">
      <x:c r="H554" s="16"/>
      <x:c r="K554" s="10"/>
      <x:c r="M554" s="12"/>
      <x:c r="N554" s="18"/>
      <x:c r="O554" s="18"/>
    </x:row>
    <x:row r="555">
      <x:c r="H555" s="16"/>
      <x:c r="K555" s="10"/>
      <x:c r="M555" s="12"/>
      <x:c r="N555" s="18"/>
      <x:c r="O555" s="18"/>
    </x:row>
    <x:row r="556">
      <x:c r="H556" s="16"/>
      <x:c r="K556" s="10"/>
      <x:c r="M556" s="12"/>
      <x:c r="N556" s="18"/>
      <x:c r="O556" s="18"/>
    </x:row>
    <x:row r="557">
      <x:c r="H557" s="16"/>
      <x:c r="K557" s="10"/>
      <x:c r="M557" s="12"/>
      <x:c r="N557" s="18"/>
      <x:c r="O557" s="18"/>
    </x:row>
    <x:row r="558">
      <x:c r="H558" s="16"/>
      <x:c r="K558" s="10"/>
      <x:c r="M558" s="12"/>
      <x:c r="N558" s="18"/>
      <x:c r="O558" s="18"/>
    </x:row>
    <x:row r="559">
      <x:c r="H559" s="16"/>
      <x:c r="K559" s="10"/>
      <x:c r="M559" s="12"/>
      <x:c r="N559" s="18"/>
      <x:c r="O559" s="18"/>
    </x:row>
    <x:row r="560">
      <x:c r="H560" s="16"/>
      <x:c r="K560" s="10"/>
      <x:c r="M560" s="12"/>
      <x:c r="N560" s="18"/>
      <x:c r="O560" s="18"/>
    </x:row>
    <x:row r="561">
      <x:c r="H561" s="16"/>
      <x:c r="K561" s="10"/>
      <x:c r="M561" s="12"/>
      <x:c r="N561" s="18"/>
      <x:c r="O561" s="18"/>
    </x:row>
    <x:row r="562">
      <x:c r="H562" s="16"/>
      <x:c r="K562" s="10"/>
      <x:c r="M562" s="12"/>
      <x:c r="N562" s="18"/>
      <x:c r="O562" s="18"/>
    </x:row>
    <x:row r="563">
      <x:c r="H563" s="16"/>
      <x:c r="K563" s="10"/>
      <x:c r="M563" s="12"/>
      <x:c r="N563" s="18"/>
      <x:c r="O563" s="18"/>
    </x:row>
    <x:row r="564">
      <x:c r="H564" s="16"/>
      <x:c r="K564" s="10"/>
      <x:c r="M564" s="12"/>
      <x:c r="N564" s="18"/>
      <x:c r="O564" s="18"/>
    </x:row>
    <x:row r="565">
      <x:c r="H565" s="16"/>
      <x:c r="K565" s="10"/>
      <x:c r="M565" s="12"/>
      <x:c r="N565" s="18"/>
      <x:c r="O565" s="18"/>
    </x:row>
    <x:row r="566">
      <x:c r="H566" s="16"/>
      <x:c r="K566" s="10"/>
      <x:c r="M566" s="12"/>
      <x:c r="N566" s="18"/>
      <x:c r="O566" s="18"/>
    </x:row>
    <x:row r="567">
      <x:c r="H567" s="16"/>
      <x:c r="K567" s="10"/>
      <x:c r="M567" s="12"/>
      <x:c r="N567" s="18"/>
      <x:c r="O567" s="18"/>
    </x:row>
    <x:row r="568">
      <x:c r="H568" s="16"/>
      <x:c r="K568" s="10"/>
      <x:c r="M568" s="12"/>
      <x:c r="N568" s="18"/>
      <x:c r="O568" s="18"/>
    </x:row>
    <x:row r="569">
      <x:c r="H569" s="16"/>
      <x:c r="K569" s="10"/>
      <x:c r="M569" s="12"/>
      <x:c r="N569" s="18"/>
      <x:c r="O569" s="18"/>
    </x:row>
    <x:row r="570">
      <x:c r="H570" s="16"/>
      <x:c r="K570" s="10"/>
      <x:c r="M570" s="12"/>
      <x:c r="N570" s="18"/>
      <x:c r="O570" s="18"/>
    </x:row>
    <x:row r="571">
      <x:c r="H571" s="16"/>
      <x:c r="K571" s="10"/>
      <x:c r="M571" s="12"/>
      <x:c r="N571" s="18"/>
      <x:c r="O571" s="18"/>
    </x:row>
    <x:row r="572">
      <x:c r="H572" s="16"/>
      <x:c r="K572" s="10"/>
      <x:c r="M572" s="12"/>
      <x:c r="N572" s="18"/>
      <x:c r="O572" s="18"/>
    </x:row>
    <x:row r="573">
      <x:c r="H573" s="16"/>
      <x:c r="K573" s="10"/>
      <x:c r="M573" s="12"/>
      <x:c r="N573" s="18"/>
      <x:c r="O573" s="18"/>
    </x:row>
    <x:row r="574">
      <x:c r="H574" s="16"/>
      <x:c r="K574" s="10"/>
      <x:c r="M574" s="12"/>
      <x:c r="N574" s="18"/>
      <x:c r="O574" s="18"/>
    </x:row>
    <x:row r="575">
      <x:c r="H575" s="16"/>
      <x:c r="K575" s="10"/>
      <x:c r="M575" s="12"/>
      <x:c r="N575" s="18"/>
      <x:c r="O575" s="18"/>
    </x:row>
    <x:row r="576">
      <x:c r="H576" s="16"/>
      <x:c r="K576" s="10"/>
      <x:c r="M576" s="12"/>
      <x:c r="N576" s="18"/>
      <x:c r="O576" s="18"/>
    </x:row>
    <x:row r="577">
      <x:c r="H577" s="16"/>
      <x:c r="K577" s="10"/>
      <x:c r="M577" s="12"/>
      <x:c r="N577" s="18"/>
      <x:c r="O577" s="18"/>
    </x:row>
    <x:row r="578">
      <x:c r="H578" s="16"/>
      <x:c r="K578" s="10"/>
      <x:c r="M578" s="12"/>
      <x:c r="N578" s="18"/>
      <x:c r="O578" s="18"/>
    </x:row>
    <x:row r="579">
      <x:c r="H579" s="16"/>
      <x:c r="K579" s="10"/>
      <x:c r="M579" s="12"/>
      <x:c r="N579" s="18"/>
      <x:c r="O579" s="18"/>
    </x:row>
    <x:row r="580">
      <x:c r="H580" s="16"/>
      <x:c r="K580" s="10"/>
      <x:c r="M580" s="12"/>
      <x:c r="N580" s="18"/>
      <x:c r="O580" s="18"/>
    </x:row>
    <x:row r="581">
      <x:c r="H581" s="16"/>
      <x:c r="K581" s="10"/>
      <x:c r="M581" s="12"/>
      <x:c r="N581" s="18"/>
      <x:c r="O581" s="18"/>
    </x:row>
    <x:row r="582">
      <x:c r="H582" s="16"/>
      <x:c r="K582" s="10"/>
      <x:c r="M582" s="12"/>
      <x:c r="N582" s="18"/>
      <x:c r="O582" s="18"/>
    </x:row>
    <x:row r="583">
      <x:c r="H583" s="16"/>
      <x:c r="K583" s="10"/>
      <x:c r="M583" s="12"/>
      <x:c r="N583" s="18"/>
      <x:c r="O583" s="18"/>
    </x:row>
    <x:row r="584">
      <x:c r="H584" s="16"/>
      <x:c r="K584" s="10"/>
      <x:c r="M584" s="12"/>
      <x:c r="N584" s="18"/>
      <x:c r="O584" s="18"/>
    </x:row>
    <x:row r="585">
      <x:c r="H585" s="16"/>
      <x:c r="K585" s="10"/>
      <x:c r="M585" s="12"/>
      <x:c r="N585" s="18"/>
      <x:c r="O585" s="18"/>
    </x:row>
    <x:row r="586">
      <x:c r="H586" s="16"/>
      <x:c r="K586" s="10"/>
      <x:c r="M586" s="12"/>
      <x:c r="N586" s="18"/>
      <x:c r="O586" s="18"/>
    </x:row>
    <x:row r="587">
      <x:c r="H587" s="16"/>
      <x:c r="K587" s="10"/>
      <x:c r="M587" s="12"/>
      <x:c r="N587" s="18"/>
      <x:c r="O587" s="18"/>
    </x:row>
    <x:row r="588">
      <x:c r="H588" s="16"/>
      <x:c r="K588" s="10"/>
      <x:c r="M588" s="12"/>
      <x:c r="N588" s="18"/>
      <x:c r="O588" s="18"/>
    </x:row>
    <x:row r="589">
      <x:c r="H589" s="16"/>
      <x:c r="K589" s="10"/>
      <x:c r="M589" s="12"/>
      <x:c r="N589" s="18"/>
      <x:c r="O589" s="18"/>
    </x:row>
    <x:row r="590">
      <x:c r="H590" s="16"/>
      <x:c r="K590" s="10"/>
      <x:c r="M590" s="12"/>
      <x:c r="N590" s="18"/>
      <x:c r="O590" s="18"/>
    </x:row>
    <x:row r="591">
      <x:c r="H591" s="16"/>
      <x:c r="K591" s="10"/>
      <x:c r="M591" s="12"/>
      <x:c r="N591" s="18"/>
      <x:c r="O591" s="18"/>
    </x:row>
    <x:row r="592">
      <x:c r="H592" s="16"/>
      <x:c r="K592" s="10"/>
      <x:c r="M592" s="12"/>
      <x:c r="N592" s="18"/>
      <x:c r="O592" s="18"/>
    </x:row>
    <x:row r="593">
      <x:c r="H593" s="16"/>
      <x:c r="K593" s="10"/>
      <x:c r="M593" s="12"/>
      <x:c r="N593" s="18"/>
      <x:c r="O593" s="18"/>
    </x:row>
    <x:row r="594">
      <x:c r="H594" s="16"/>
      <x:c r="K594" s="10"/>
      <x:c r="M594" s="12"/>
      <x:c r="N594" s="18"/>
      <x:c r="O594" s="18"/>
    </x:row>
    <x:row r="595">
      <x:c r="H595" s="16"/>
      <x:c r="K595" s="10"/>
      <x:c r="M595" s="12"/>
      <x:c r="N595" s="18"/>
      <x:c r="O595" s="18"/>
    </x:row>
    <x:row r="596">
      <x:c r="H596" s="16"/>
      <x:c r="K596" s="10"/>
      <x:c r="M596" s="12"/>
      <x:c r="N596" s="18"/>
      <x:c r="O596" s="18"/>
    </x:row>
    <x:row r="597">
      <x:c r="H597" s="16"/>
      <x:c r="K597" s="10"/>
      <x:c r="M597" s="12"/>
      <x:c r="N597" s="18"/>
      <x:c r="O597" s="18"/>
    </x:row>
    <x:row r="598">
      <x:c r="H598" s="16"/>
      <x:c r="K598" s="10"/>
      <x:c r="M598" s="12"/>
      <x:c r="N598" s="18"/>
      <x:c r="O598" s="18"/>
    </x:row>
    <x:row r="599">
      <x:c r="H599" s="16"/>
      <x:c r="K599" s="10"/>
      <x:c r="M599" s="12"/>
      <x:c r="N599" s="18"/>
      <x:c r="O599" s="18"/>
    </x:row>
    <x:row r="600">
      <x:c r="H600" s="16"/>
      <x:c r="K600" s="10"/>
      <x:c r="M600" s="12"/>
      <x:c r="N600" s="18"/>
      <x:c r="O600" s="18"/>
    </x:row>
    <x:row r="601">
      <x:c r="H601" s="16"/>
      <x:c r="K601" s="10"/>
      <x:c r="M601" s="12"/>
      <x:c r="N601" s="18"/>
      <x:c r="O601" s="18"/>
    </x:row>
    <x:row r="602">
      <x:c r="H602" s="16"/>
      <x:c r="K602" s="10"/>
      <x:c r="M602" s="12"/>
      <x:c r="N602" s="18"/>
      <x:c r="O602" s="18"/>
    </x:row>
    <x:row r="603">
      <x:c r="H603" s="16"/>
      <x:c r="K603" s="10"/>
      <x:c r="M603" s="12"/>
      <x:c r="N603" s="18"/>
      <x:c r="O603" s="18"/>
    </x:row>
    <x:row r="604">
      <x:c r="H604" s="16"/>
      <x:c r="K604" s="10"/>
      <x:c r="M604" s="12"/>
      <x:c r="N604" s="18"/>
      <x:c r="O604" s="18"/>
    </x:row>
    <x:row r="605">
      <x:c r="H605" s="16"/>
      <x:c r="K605" s="10"/>
      <x:c r="M605" s="12"/>
      <x:c r="N605" s="18"/>
      <x:c r="O605" s="18"/>
    </x:row>
    <x:row r="606">
      <x:c r="H606" s="16"/>
      <x:c r="K606" s="10"/>
      <x:c r="M606" s="12"/>
      <x:c r="N606" s="18"/>
      <x:c r="O606" s="18"/>
    </x:row>
    <x:row r="607">
      <x:c r="H607" s="16"/>
      <x:c r="K607" s="10"/>
      <x:c r="M607" s="12"/>
      <x:c r="N607" s="18"/>
      <x:c r="O607" s="18"/>
    </x:row>
    <x:row r="608">
      <x:c r="H608" s="16"/>
      <x:c r="K608" s="10"/>
      <x:c r="M608" s="12"/>
      <x:c r="N608" s="18"/>
      <x:c r="O608" s="18"/>
    </x:row>
    <x:row r="609">
      <x:c r="H609" s="16"/>
      <x:c r="K609" s="10"/>
      <x:c r="M609" s="12"/>
      <x:c r="N609" s="18"/>
      <x:c r="O609" s="18"/>
    </x:row>
    <x:row r="610">
      <x:c r="H610" s="16"/>
      <x:c r="K610" s="10"/>
      <x:c r="M610" s="12"/>
      <x:c r="N610" s="18"/>
      <x:c r="O610" s="18"/>
    </x:row>
    <x:row r="611">
      <x:c r="H611" s="16"/>
      <x:c r="K611" s="10"/>
      <x:c r="M611" s="12"/>
      <x:c r="N611" s="18"/>
      <x:c r="O611" s="18"/>
    </x:row>
    <x:row r="612">
      <x:c r="H612" s="16"/>
      <x:c r="K612" s="10"/>
      <x:c r="M612" s="12"/>
      <x:c r="N612" s="18"/>
      <x:c r="O612" s="18"/>
    </x:row>
    <x:row r="613">
      <x:c r="H613" s="16"/>
      <x:c r="K613" s="10"/>
      <x:c r="M613" s="12"/>
      <x:c r="N613" s="18"/>
      <x:c r="O613" s="18"/>
    </x:row>
    <x:row r="614">
      <x:c r="H614" s="16"/>
      <x:c r="K614" s="10"/>
      <x:c r="M614" s="12"/>
      <x:c r="N614" s="18"/>
      <x:c r="O614" s="18"/>
    </x:row>
    <x:row r="615">
      <x:c r="H615" s="16"/>
      <x:c r="K615" s="10"/>
      <x:c r="M615" s="12"/>
      <x:c r="N615" s="18"/>
      <x:c r="O615" s="18"/>
    </x:row>
    <x:row r="616">
      <x:c r="H616" s="16"/>
      <x:c r="K616" s="10"/>
      <x:c r="M616" s="12"/>
      <x:c r="N616" s="18"/>
      <x:c r="O616" s="18"/>
    </x:row>
    <x:row r="617">
      <x:c r="H617" s="16"/>
      <x:c r="K617" s="10"/>
      <x:c r="M617" s="12"/>
      <x:c r="N617" s="18"/>
      <x:c r="O617" s="18"/>
    </x:row>
    <x:row r="618">
      <x:c r="H618" s="16"/>
      <x:c r="K618" s="10"/>
      <x:c r="M618" s="12"/>
      <x:c r="N618" s="18"/>
      <x:c r="O618" s="18"/>
    </x:row>
    <x:row r="619">
      <x:c r="H619" s="16"/>
      <x:c r="K619" s="10"/>
      <x:c r="M619" s="12"/>
      <x:c r="N619" s="18"/>
      <x:c r="O619" s="18"/>
    </x:row>
    <x:row r="620">
      <x:c r="H620" s="16"/>
      <x:c r="K620" s="10"/>
      <x:c r="M620" s="12"/>
      <x:c r="N620" s="18"/>
      <x:c r="O620" s="18"/>
    </x:row>
    <x:row r="621">
      <x:c r="H621" s="16"/>
      <x:c r="K621" s="10"/>
      <x:c r="M621" s="12"/>
      <x:c r="N621" s="18"/>
      <x:c r="O621" s="18"/>
    </x:row>
    <x:row r="622">
      <x:c r="H622" s="16"/>
      <x:c r="K622" s="10"/>
      <x:c r="M622" s="12"/>
      <x:c r="N622" s="18"/>
      <x:c r="O622" s="18"/>
    </x:row>
    <x:row r="623">
      <x:c r="H623" s="16"/>
      <x:c r="K623" s="10"/>
      <x:c r="M623" s="12"/>
      <x:c r="N623" s="18"/>
      <x:c r="O623" s="18"/>
    </x:row>
    <x:row r="624">
      <x:c r="H624" s="16"/>
      <x:c r="K624" s="10"/>
      <x:c r="M624" s="12"/>
      <x:c r="N624" s="18"/>
      <x:c r="O624" s="18"/>
    </x:row>
    <x:row r="625">
      <x:c r="H625" s="16"/>
      <x:c r="K625" s="10"/>
      <x:c r="M625" s="12"/>
      <x:c r="N625" s="18"/>
      <x:c r="O625" s="18"/>
    </x:row>
    <x:row r="626">
      <x:c r="H626" s="16"/>
      <x:c r="K626" s="10"/>
      <x:c r="M626" s="12"/>
      <x:c r="N626" s="18"/>
      <x:c r="O626" s="18"/>
    </x:row>
    <x:row r="627">
      <x:c r="H627" s="16"/>
      <x:c r="K627" s="10"/>
      <x:c r="M627" s="12"/>
      <x:c r="N627" s="18"/>
      <x:c r="O627" s="18"/>
    </x:row>
    <x:row r="628">
      <x:c r="H628" s="16"/>
      <x:c r="K628" s="10"/>
      <x:c r="M628" s="12"/>
      <x:c r="N628" s="18"/>
      <x:c r="O628" s="18"/>
    </x:row>
    <x:row r="629">
      <x:c r="H629" s="16"/>
      <x:c r="K629" s="10"/>
      <x:c r="M629" s="12"/>
      <x:c r="N629" s="18"/>
      <x:c r="O629" s="18"/>
    </x:row>
    <x:row r="630">
      <x:c r="H630" s="16"/>
      <x:c r="K630" s="10"/>
      <x:c r="M630" s="12"/>
      <x:c r="N630" s="18"/>
      <x:c r="O630" s="18"/>
    </x:row>
    <x:row r="631">
      <x:c r="H631" s="16"/>
      <x:c r="K631" s="10"/>
      <x:c r="M631" s="12"/>
      <x:c r="N631" s="18"/>
      <x:c r="O631" s="18"/>
    </x:row>
    <x:row r="632">
      <x:c r="H632" s="16"/>
      <x:c r="K632" s="10"/>
      <x:c r="M632" s="12"/>
      <x:c r="N632" s="18"/>
      <x:c r="O632" s="18"/>
    </x:row>
    <x:row r="633">
      <x:c r="H633" s="16"/>
      <x:c r="K633" s="10"/>
      <x:c r="M633" s="12"/>
      <x:c r="N633" s="18"/>
      <x:c r="O633" s="18"/>
    </x:row>
    <x:row r="634">
      <x:c r="H634" s="16"/>
      <x:c r="K634" s="10"/>
      <x:c r="M634" s="12"/>
      <x:c r="N634" s="18"/>
      <x:c r="O634" s="18"/>
    </x:row>
    <x:row r="635">
      <x:c r="H635" s="16"/>
      <x:c r="K635" s="10"/>
      <x:c r="M635" s="12"/>
      <x:c r="N635" s="18"/>
      <x:c r="O635" s="18"/>
    </x:row>
    <x:row r="636">
      <x:c r="H636" s="16"/>
      <x:c r="K636" s="10"/>
      <x:c r="M636" s="12"/>
      <x:c r="N636" s="18"/>
      <x:c r="O636" s="18"/>
    </x:row>
    <x:row r="637">
      <x:c r="H637" s="16"/>
      <x:c r="K637" s="10"/>
      <x:c r="M637" s="12"/>
      <x:c r="N637" s="18"/>
      <x:c r="O637" s="18"/>
    </x:row>
    <x:row r="638">
      <x:c r="H638" s="16"/>
      <x:c r="K638" s="10"/>
      <x:c r="M638" s="12"/>
      <x:c r="N638" s="18"/>
      <x:c r="O638" s="18"/>
    </x:row>
    <x:row r="639">
      <x:c r="H639" s="16"/>
      <x:c r="K639" s="10"/>
      <x:c r="M639" s="12"/>
      <x:c r="N639" s="18"/>
      <x:c r="O639" s="18"/>
    </x:row>
    <x:row r="640">
      <x:c r="H640" s="16"/>
      <x:c r="K640" s="10"/>
      <x:c r="M640" s="12"/>
      <x:c r="N640" s="18"/>
      <x:c r="O640" s="18"/>
    </x:row>
    <x:row r="641">
      <x:c r="H641" s="16"/>
      <x:c r="K641" s="10"/>
      <x:c r="M641" s="12"/>
      <x:c r="N641" s="18"/>
      <x:c r="O641" s="18"/>
    </x:row>
    <x:row r="642">
      <x:c r="H642" s="16"/>
      <x:c r="K642" s="10"/>
      <x:c r="M642" s="12"/>
      <x:c r="N642" s="18"/>
      <x:c r="O642" s="18"/>
    </x:row>
    <x:row r="643">
      <x:c r="H643" s="16"/>
      <x:c r="K643" s="10"/>
      <x:c r="M643" s="12"/>
      <x:c r="N643" s="18"/>
      <x:c r="O643" s="18"/>
    </x:row>
    <x:row r="644">
      <x:c r="H644" s="16"/>
      <x:c r="K644" s="10"/>
      <x:c r="M644" s="12"/>
      <x:c r="N644" s="18"/>
      <x:c r="O644" s="18"/>
    </x:row>
    <x:row r="645">
      <x:c r="H645" s="16"/>
      <x:c r="K645" s="10"/>
      <x:c r="M645" s="12"/>
      <x:c r="N645" s="18"/>
      <x:c r="O645" s="18"/>
    </x:row>
    <x:row r="646">
      <x:c r="H646" s="16"/>
      <x:c r="K646" s="10"/>
      <x:c r="M646" s="12"/>
      <x:c r="N646" s="18"/>
      <x:c r="O646" s="18"/>
    </x:row>
    <x:row r="647">
      <x:c r="H647" s="16"/>
      <x:c r="K647" s="10"/>
      <x:c r="M647" s="12"/>
      <x:c r="N647" s="18"/>
      <x:c r="O647" s="18"/>
    </x:row>
    <x:row r="648">
      <x:c r="H648" s="16"/>
      <x:c r="K648" s="10"/>
      <x:c r="M648" s="12"/>
      <x:c r="N648" s="18"/>
      <x:c r="O648" s="18"/>
    </x:row>
    <x:row r="649">
      <x:c r="H649" s="16"/>
      <x:c r="K649" s="10"/>
      <x:c r="M649" s="12"/>
      <x:c r="N649" s="18"/>
      <x:c r="O649" s="18"/>
    </x:row>
    <x:row r="650">
      <x:c r="H650" s="16"/>
      <x:c r="K650" s="10"/>
      <x:c r="M650" s="12"/>
      <x:c r="N650" s="18"/>
      <x:c r="O650" s="18"/>
    </x:row>
    <x:row r="651">
      <x:c r="H651" s="16"/>
      <x:c r="K651" s="10"/>
      <x:c r="M651" s="12"/>
      <x:c r="N651" s="18"/>
      <x:c r="O651" s="18"/>
    </x:row>
    <x:row r="652">
      <x:c r="H652" s="16"/>
      <x:c r="K652" s="10"/>
      <x:c r="M652" s="12"/>
      <x:c r="N652" s="18"/>
      <x:c r="O652" s="18"/>
    </x:row>
    <x:row r="653">
      <x:c r="H653" s="16"/>
      <x:c r="K653" s="10"/>
      <x:c r="M653" s="12"/>
      <x:c r="N653" s="18"/>
      <x:c r="O653" s="18"/>
    </x:row>
    <x:row r="654">
      <x:c r="H654" s="16"/>
      <x:c r="K654" s="10"/>
      <x:c r="M654" s="12"/>
      <x:c r="N654" s="18"/>
      <x:c r="O654" s="18"/>
    </x:row>
    <x:row r="655">
      <x:c r="H655" s="16"/>
      <x:c r="K655" s="10"/>
      <x:c r="M655" s="12"/>
      <x:c r="N655" s="18"/>
      <x:c r="O655" s="18"/>
    </x:row>
    <x:row r="656">
      <x:c r="H656" s="16"/>
      <x:c r="K656" s="10"/>
      <x:c r="M656" s="12"/>
      <x:c r="N656" s="18"/>
      <x:c r="O656" s="18"/>
    </x:row>
    <x:row r="657">
      <x:c r="H657" s="16"/>
      <x:c r="K657" s="10"/>
      <x:c r="M657" s="12"/>
      <x:c r="N657" s="18"/>
      <x:c r="O657" s="18"/>
    </x:row>
    <x:row r="658">
      <x:c r="H658" s="16"/>
      <x:c r="K658" s="10"/>
      <x:c r="M658" s="12"/>
      <x:c r="N658" s="18"/>
      <x:c r="O658" s="18"/>
    </x:row>
    <x:row r="659">
      <x:c r="H659" s="16"/>
      <x:c r="K659" s="10"/>
      <x:c r="M659" s="12"/>
      <x:c r="N659" s="18"/>
      <x:c r="O659" s="18"/>
    </x:row>
    <x:row r="660">
      <x:c r="H660" s="16"/>
      <x:c r="K660" s="10"/>
      <x:c r="M660" s="12"/>
      <x:c r="N660" s="18"/>
      <x:c r="O660" s="18"/>
    </x:row>
    <x:row r="661">
      <x:c r="H661" s="16"/>
      <x:c r="K661" s="10"/>
      <x:c r="M661" s="12"/>
      <x:c r="N661" s="18"/>
      <x:c r="O661" s="18"/>
    </x:row>
    <x:row r="662">
      <x:c r="H662" s="16"/>
      <x:c r="K662" s="10"/>
      <x:c r="M662" s="12"/>
      <x:c r="N662" s="18"/>
      <x:c r="O662" s="18"/>
    </x:row>
    <x:row r="663">
      <x:c r="H663" s="16"/>
      <x:c r="K663" s="10"/>
      <x:c r="M663" s="12"/>
      <x:c r="N663" s="18"/>
      <x:c r="O663" s="18"/>
    </x:row>
    <x:row r="664">
      <x:c r="H664" s="16"/>
      <x:c r="K664" s="10"/>
      <x:c r="M664" s="12"/>
      <x:c r="N664" s="18"/>
      <x:c r="O664" s="18"/>
    </x:row>
    <x:row r="665">
      <x:c r="H665" s="16"/>
      <x:c r="K665" s="10"/>
      <x:c r="M665" s="12"/>
      <x:c r="N665" s="18"/>
      <x:c r="O665" s="18"/>
    </x:row>
    <x:row r="666">
      <x:c r="H666" s="16"/>
      <x:c r="K666" s="10"/>
      <x:c r="M666" s="12"/>
      <x:c r="N666" s="18"/>
      <x:c r="O666" s="18"/>
    </x:row>
    <x:row r="667">
      <x:c r="H667" s="16"/>
      <x:c r="K667" s="10"/>
      <x:c r="M667" s="12"/>
      <x:c r="N667" s="18"/>
      <x:c r="O667" s="18"/>
    </x:row>
    <x:row r="668">
      <x:c r="H668" s="16"/>
      <x:c r="K668" s="10"/>
      <x:c r="M668" s="12"/>
      <x:c r="N668" s="18"/>
      <x:c r="O668" s="18"/>
    </x:row>
    <x:row r="669">
      <x:c r="H669" s="16"/>
      <x:c r="K669" s="10"/>
      <x:c r="M669" s="12"/>
      <x:c r="N669" s="18"/>
      <x:c r="O669" s="18"/>
    </x:row>
    <x:row r="670">
      <x:c r="H670" s="16"/>
      <x:c r="K670" s="10"/>
      <x:c r="M670" s="12"/>
      <x:c r="N670" s="18"/>
      <x:c r="O670" s="18"/>
    </x:row>
    <x:row r="671">
      <x:c r="H671" s="16"/>
      <x:c r="K671" s="10"/>
      <x:c r="M671" s="12"/>
      <x:c r="N671" s="18"/>
      <x:c r="O671" s="18"/>
    </x:row>
    <x:row r="672">
      <x:c r="H672" s="16"/>
      <x:c r="K672" s="10"/>
      <x:c r="M672" s="12"/>
      <x:c r="N672" s="18"/>
      <x:c r="O672" s="18"/>
    </x:row>
    <x:row r="673">
      <x:c r="H673" s="16"/>
      <x:c r="K673" s="10"/>
      <x:c r="M673" s="12"/>
      <x:c r="N673" s="18"/>
      <x:c r="O673" s="18"/>
    </x:row>
    <x:row r="674">
      <x:c r="H674" s="16"/>
      <x:c r="K674" s="10"/>
      <x:c r="M674" s="12"/>
      <x:c r="N674" s="18"/>
      <x:c r="O674" s="18"/>
    </x:row>
    <x:row r="675">
      <x:c r="H675" s="16"/>
      <x:c r="K675" s="10"/>
      <x:c r="M675" s="12"/>
      <x:c r="N675" s="18"/>
      <x:c r="O675" s="18"/>
    </x:row>
    <x:row r="676">
      <x:c r="H676" s="16"/>
      <x:c r="K676" s="10"/>
      <x:c r="M676" s="12"/>
      <x:c r="N676" s="18"/>
      <x:c r="O676" s="18"/>
    </x:row>
    <x:row r="677">
      <x:c r="H677" s="16"/>
      <x:c r="K677" s="10"/>
      <x:c r="M677" s="12"/>
      <x:c r="N677" s="18"/>
      <x:c r="O677" s="18"/>
    </x:row>
    <x:row r="678">
      <x:c r="H678" s="16"/>
      <x:c r="K678" s="10"/>
      <x:c r="M678" s="12"/>
      <x:c r="N678" s="18"/>
      <x:c r="O678" s="18"/>
    </x:row>
    <x:row r="679">
      <x:c r="H679" s="16"/>
      <x:c r="K679" s="10"/>
      <x:c r="M679" s="12"/>
      <x:c r="N679" s="18"/>
      <x:c r="O679" s="18"/>
    </x:row>
    <x:row r="680">
      <x:c r="H680" s="16"/>
      <x:c r="K680" s="10"/>
      <x:c r="M680" s="12"/>
      <x:c r="N680" s="18"/>
      <x:c r="O680" s="18"/>
    </x:row>
    <x:row r="681">
      <x:c r="H681" s="16"/>
      <x:c r="K681" s="10"/>
      <x:c r="M681" s="12"/>
      <x:c r="N681" s="18"/>
      <x:c r="O681" s="18"/>
    </x:row>
    <x:row r="682">
      <x:c r="H682" s="16"/>
      <x:c r="K682" s="10"/>
      <x:c r="M682" s="12"/>
      <x:c r="N682" s="18"/>
      <x:c r="O682" s="18"/>
    </x:row>
    <x:row r="683">
      <x:c r="H683" s="16"/>
      <x:c r="K683" s="10"/>
      <x:c r="M683" s="12"/>
      <x:c r="N683" s="18"/>
      <x:c r="O683" s="18"/>
    </x:row>
    <x:row r="684">
      <x:c r="H684" s="16"/>
      <x:c r="K684" s="10"/>
      <x:c r="M684" s="12"/>
      <x:c r="N684" s="18"/>
      <x:c r="O684" s="18"/>
    </x:row>
    <x:row r="685">
      <x:c r="H685" s="16"/>
      <x:c r="K685" s="10"/>
      <x:c r="M685" s="12"/>
      <x:c r="N685" s="18"/>
      <x:c r="O685" s="18"/>
    </x:row>
    <x:row r="686">
      <x:c r="H686" s="16"/>
      <x:c r="K686" s="10"/>
      <x:c r="M686" s="12"/>
      <x:c r="N686" s="18"/>
      <x:c r="O686" s="18"/>
    </x:row>
    <x:row r="687">
      <x:c r="H687" s="16"/>
      <x:c r="K687" s="10"/>
      <x:c r="M687" s="12"/>
      <x:c r="N687" s="18"/>
      <x:c r="O687" s="18"/>
    </x:row>
    <x:row r="688">
      <x:c r="H688" s="16"/>
      <x:c r="K688" s="10"/>
      <x:c r="M688" s="12"/>
      <x:c r="N688" s="18"/>
      <x:c r="O688" s="18"/>
    </x:row>
    <x:row r="689">
      <x:c r="H689" s="16"/>
      <x:c r="K689" s="10"/>
      <x:c r="M689" s="12"/>
      <x:c r="N689" s="18"/>
      <x:c r="O689" s="18"/>
    </x:row>
    <x:row r="690">
      <x:c r="H690" s="16"/>
      <x:c r="K690" s="10"/>
      <x:c r="M690" s="12"/>
      <x:c r="N690" s="18"/>
      <x:c r="O690" s="18"/>
    </x:row>
    <x:row r="691">
      <x:c r="H691" s="16"/>
      <x:c r="K691" s="10"/>
      <x:c r="M691" s="12"/>
      <x:c r="N691" s="18"/>
      <x:c r="O691" s="18"/>
    </x:row>
    <x:row r="692">
      <x:c r="H692" s="16"/>
      <x:c r="K692" s="10"/>
      <x:c r="M692" s="12"/>
      <x:c r="N692" s="18"/>
      <x:c r="O692" s="18"/>
    </x:row>
    <x:row r="693">
      <x:c r="H693" s="16"/>
      <x:c r="K693" s="10"/>
      <x:c r="M693" s="12"/>
      <x:c r="N693" s="18"/>
      <x:c r="O693" s="18"/>
    </x:row>
    <x:row r="694">
      <x:c r="H694" s="16"/>
      <x:c r="K694" s="10"/>
      <x:c r="M694" s="12"/>
      <x:c r="N694" s="18"/>
      <x:c r="O694" s="18"/>
    </x:row>
    <x:row r="695">
      <x:c r="H695" s="16"/>
      <x:c r="K695" s="10"/>
      <x:c r="M695" s="12"/>
      <x:c r="N695" s="18"/>
      <x:c r="O695" s="18"/>
    </x:row>
    <x:row r="696">
      <x:c r="H696" s="16"/>
      <x:c r="K696" s="10"/>
      <x:c r="M696" s="12"/>
      <x:c r="N696" s="18"/>
      <x:c r="O696" s="18"/>
    </x:row>
    <x:row r="697">
      <x:c r="H697" s="16"/>
      <x:c r="K697" s="10"/>
      <x:c r="M697" s="12"/>
      <x:c r="N697" s="18"/>
      <x:c r="O697" s="18"/>
    </x:row>
    <x:row r="698">
      <x:c r="H698" s="16"/>
      <x:c r="K698" s="10"/>
      <x:c r="M698" s="12"/>
      <x:c r="N698" s="18"/>
      <x:c r="O698" s="18"/>
    </x:row>
    <x:row r="699">
      <x:c r="H699" s="16"/>
      <x:c r="K699" s="10"/>
      <x:c r="M699" s="12"/>
      <x:c r="N699" s="18"/>
      <x:c r="O699" s="18"/>
    </x:row>
    <x:row r="700">
      <x:c r="H700" s="16"/>
      <x:c r="K700" s="10"/>
      <x:c r="M700" s="12"/>
      <x:c r="N700" s="18"/>
      <x:c r="O700" s="18"/>
    </x:row>
    <x:row r="701">
      <x:c r="H701" s="16"/>
      <x:c r="K701" s="10"/>
      <x:c r="M701" s="12"/>
      <x:c r="N701" s="18"/>
      <x:c r="O701" s="18"/>
    </x:row>
    <x:row r="702">
      <x:c r="H702" s="16"/>
      <x:c r="K702" s="10"/>
      <x:c r="M702" s="12"/>
      <x:c r="N702" s="18"/>
      <x:c r="O702" s="18"/>
    </x:row>
    <x:row r="703">
      <x:c r="H703" s="16"/>
      <x:c r="K703" s="10"/>
      <x:c r="M703" s="12"/>
      <x:c r="N703" s="18"/>
      <x:c r="O703" s="18"/>
    </x:row>
    <x:row r="704">
      <x:c r="H704" s="16"/>
      <x:c r="K704" s="10"/>
      <x:c r="M704" s="12"/>
      <x:c r="N704" s="18"/>
      <x:c r="O704" s="18"/>
    </x:row>
    <x:row r="705">
      <x:c r="H705" s="16"/>
      <x:c r="K705" s="10"/>
      <x:c r="M705" s="12"/>
      <x:c r="N705" s="18"/>
      <x:c r="O705" s="18"/>
    </x:row>
    <x:row r="706">
      <x:c r="H706" s="16"/>
      <x:c r="K706" s="10"/>
      <x:c r="M706" s="12"/>
      <x:c r="N706" s="18"/>
      <x:c r="O706" s="18"/>
    </x:row>
    <x:row r="707">
      <x:c r="H707" s="16"/>
      <x:c r="K707" s="10"/>
      <x:c r="M707" s="12"/>
      <x:c r="N707" s="18"/>
      <x:c r="O707" s="18"/>
    </x:row>
    <x:row r="708">
      <x:c r="H708" s="16"/>
      <x:c r="K708" s="10"/>
      <x:c r="M708" s="12"/>
      <x:c r="N708" s="18"/>
      <x:c r="O708" s="18"/>
    </x:row>
    <x:row r="709">
      <x:c r="H709" s="16"/>
      <x:c r="K709" s="10"/>
      <x:c r="M709" s="12"/>
      <x:c r="N709" s="18"/>
      <x:c r="O709" s="18"/>
    </x:row>
    <x:row r="710">
      <x:c r="H710" s="16"/>
      <x:c r="K710" s="10"/>
      <x:c r="M710" s="12"/>
      <x:c r="N710" s="18"/>
      <x:c r="O710" s="18"/>
    </x:row>
    <x:row r="711">
      <x:c r="H711" s="16"/>
      <x:c r="K711" s="10"/>
      <x:c r="M711" s="12"/>
      <x:c r="N711" s="18"/>
      <x:c r="O711" s="18"/>
    </x:row>
    <x:row r="712">
      <x:c r="H712" s="16"/>
      <x:c r="K712" s="10"/>
      <x:c r="M712" s="12"/>
      <x:c r="N712" s="18"/>
      <x:c r="O712" s="18"/>
    </x:row>
    <x:row r="713">
      <x:c r="H713" s="16"/>
      <x:c r="K713" s="10"/>
      <x:c r="M713" s="12"/>
      <x:c r="N713" s="18"/>
      <x:c r="O713" s="18"/>
    </x:row>
    <x:row r="714">
      <x:c r="H714" s="16"/>
      <x:c r="K714" s="10"/>
      <x:c r="M714" s="12"/>
      <x:c r="N714" s="18"/>
      <x:c r="O714" s="18"/>
    </x:row>
    <x:row r="715">
      <x:c r="H715" s="16"/>
      <x:c r="K715" s="10"/>
      <x:c r="M715" s="12"/>
      <x:c r="N715" s="18"/>
      <x:c r="O715" s="18"/>
    </x:row>
    <x:row r="716">
      <x:c r="H716" s="16"/>
      <x:c r="K716" s="10"/>
      <x:c r="M716" s="12"/>
      <x:c r="N716" s="18"/>
      <x:c r="O716" s="18"/>
    </x:row>
    <x:row r="717">
      <x:c r="H717" s="16"/>
      <x:c r="K717" s="10"/>
      <x:c r="M717" s="12"/>
      <x:c r="N717" s="18"/>
      <x:c r="O717" s="18"/>
    </x:row>
    <x:row r="718">
      <x:c r="H718" s="16"/>
      <x:c r="K718" s="10"/>
      <x:c r="M718" s="12"/>
      <x:c r="N718" s="18"/>
      <x:c r="O718" s="18"/>
    </x:row>
    <x:row r="719">
      <x:c r="H719" s="16"/>
      <x:c r="K719" s="10"/>
      <x:c r="M719" s="12"/>
      <x:c r="N719" s="18"/>
      <x:c r="O719" s="18"/>
    </x:row>
    <x:row r="720">
      <x:c r="H720" s="16"/>
      <x:c r="K720" s="10"/>
      <x:c r="M720" s="12"/>
      <x:c r="N720" s="18"/>
      <x:c r="O720" s="18"/>
    </x:row>
    <x:row r="721">
      <x:c r="H721" s="16"/>
      <x:c r="K721" s="10"/>
      <x:c r="M721" s="12"/>
      <x:c r="N721" s="18"/>
      <x:c r="O721" s="18"/>
    </x:row>
    <x:row r="722">
      <x:c r="H722" s="16"/>
      <x:c r="K722" s="10"/>
      <x:c r="M722" s="12"/>
      <x:c r="N722" s="18"/>
      <x:c r="O722" s="18"/>
    </x:row>
    <x:row r="723">
      <x:c r="H723" s="16"/>
      <x:c r="K723" s="10"/>
      <x:c r="M723" s="12"/>
      <x:c r="N723" s="18"/>
      <x:c r="O723" s="18"/>
    </x:row>
    <x:row r="724">
      <x:c r="H724" s="16"/>
      <x:c r="K724" s="10"/>
      <x:c r="M724" s="12"/>
      <x:c r="N724" s="18"/>
      <x:c r="O724" s="18"/>
    </x:row>
    <x:row r="725">
      <x:c r="H725" s="16"/>
      <x:c r="K725" s="10"/>
      <x:c r="M725" s="12"/>
      <x:c r="N725" s="18"/>
      <x:c r="O725" s="18"/>
    </x:row>
    <x:row r="726">
      <x:c r="H726" s="16"/>
      <x:c r="K726" s="10"/>
      <x:c r="M726" s="12"/>
      <x:c r="N726" s="18"/>
      <x:c r="O726" s="18"/>
    </x:row>
    <x:row r="727">
      <x:c r="H727" s="16"/>
      <x:c r="K727" s="10"/>
      <x:c r="M727" s="12"/>
      <x:c r="N727" s="18"/>
      <x:c r="O727" s="18"/>
    </x:row>
    <x:row r="728">
      <x:c r="H728" s="16"/>
      <x:c r="K728" s="10"/>
      <x:c r="M728" s="12"/>
      <x:c r="N728" s="18"/>
      <x:c r="O728" s="18"/>
    </x:row>
    <x:row r="729">
      <x:c r="H729" s="16"/>
      <x:c r="K729" s="10"/>
      <x:c r="M729" s="12"/>
      <x:c r="N729" s="18"/>
      <x:c r="O729" s="18"/>
    </x:row>
    <x:row r="730">
      <x:c r="H730" s="16"/>
      <x:c r="K730" s="10"/>
      <x:c r="M730" s="12"/>
      <x:c r="N730" s="18"/>
      <x:c r="O730" s="18"/>
    </x:row>
    <x:row r="731">
      <x:c r="H731" s="16"/>
      <x:c r="K731" s="10"/>
      <x:c r="M731" s="12"/>
      <x:c r="N731" s="18"/>
      <x:c r="O731" s="18"/>
    </x:row>
    <x:row r="732">
      <x:c r="H732" s="16"/>
      <x:c r="K732" s="10"/>
      <x:c r="M732" s="12"/>
      <x:c r="N732" s="18"/>
      <x:c r="O732" s="18"/>
    </x:row>
    <x:row r="733">
      <x:c r="H733" s="16"/>
      <x:c r="K733" s="10"/>
      <x:c r="M733" s="12"/>
      <x:c r="N733" s="18"/>
      <x:c r="O733" s="18"/>
    </x:row>
    <x:row r="734">
      <x:c r="H734" s="16"/>
      <x:c r="K734" s="10"/>
      <x:c r="M734" s="12"/>
      <x:c r="N734" s="18"/>
      <x:c r="O734" s="18"/>
    </x:row>
    <x:row r="735">
      <x:c r="H735" s="16"/>
      <x:c r="K735" s="10"/>
      <x:c r="M735" s="12"/>
      <x:c r="N735" s="18"/>
      <x:c r="O735" s="18"/>
    </x:row>
    <x:row r="736">
      <x:c r="H736" s="16"/>
      <x:c r="K736" s="10"/>
      <x:c r="M736" s="12"/>
      <x:c r="N736" s="18"/>
      <x:c r="O736" s="18"/>
    </x:row>
    <x:row r="737">
      <x:c r="H737" s="16"/>
      <x:c r="K737" s="10"/>
      <x:c r="M737" s="12"/>
      <x:c r="N737" s="18"/>
      <x:c r="O737" s="18"/>
    </x:row>
    <x:row r="738">
      <x:c r="H738" s="16"/>
      <x:c r="K738" s="10"/>
      <x:c r="M738" s="12"/>
      <x:c r="N738" s="18"/>
      <x:c r="O738" s="18"/>
    </x:row>
    <x:row r="739">
      <x:c r="H739" s="16"/>
      <x:c r="K739" s="10"/>
      <x:c r="M739" s="12"/>
      <x:c r="N739" s="18"/>
      <x:c r="O739" s="18"/>
    </x:row>
    <x:row r="740">
      <x:c r="H740" s="16"/>
      <x:c r="K740" s="10"/>
      <x:c r="M740" s="12"/>
      <x:c r="N740" s="18"/>
      <x:c r="O740" s="18"/>
    </x:row>
    <x:row r="741">
      <x:c r="H741" s="16"/>
      <x:c r="K741" s="10"/>
      <x:c r="M741" s="12"/>
      <x:c r="N741" s="18"/>
      <x:c r="O741" s="18"/>
    </x:row>
    <x:row r="742">
      <x:c r="H742" s="16"/>
      <x:c r="K742" s="10"/>
      <x:c r="M742" s="12"/>
      <x:c r="N742" s="18"/>
      <x:c r="O742" s="18"/>
    </x:row>
    <x:row r="743">
      <x:c r="H743" s="16"/>
      <x:c r="K743" s="10"/>
      <x:c r="M743" s="12"/>
      <x:c r="N743" s="18"/>
      <x:c r="O743" s="18"/>
    </x:row>
    <x:row r="744">
      <x:c r="H744" s="16"/>
      <x:c r="K744" s="10"/>
      <x:c r="M744" s="12"/>
      <x:c r="N744" s="18"/>
      <x:c r="O744" s="18"/>
    </x:row>
    <x:row r="745">
      <x:c r="H745" s="16"/>
      <x:c r="K745" s="10"/>
      <x:c r="M745" s="12"/>
      <x:c r="N745" s="18"/>
      <x:c r="O745" s="18"/>
    </x:row>
    <x:row r="746">
      <x:c r="H746" s="16"/>
      <x:c r="K746" s="10"/>
      <x:c r="M746" s="12"/>
      <x:c r="N746" s="18"/>
      <x:c r="O746" s="18"/>
    </x:row>
    <x:row r="747">
      <x:c r="H747" s="16"/>
      <x:c r="K747" s="10"/>
      <x:c r="M747" s="12"/>
      <x:c r="N747" s="18"/>
      <x:c r="O747" s="18"/>
    </x:row>
    <x:row r="748">
      <x:c r="H748" s="16"/>
      <x:c r="K748" s="10"/>
      <x:c r="M748" s="12"/>
      <x:c r="N748" s="18"/>
      <x:c r="O748" s="18"/>
    </x:row>
    <x:row r="749">
      <x:c r="H749" s="16"/>
      <x:c r="K749" s="10"/>
      <x:c r="M749" s="12"/>
      <x:c r="N749" s="18"/>
      <x:c r="O749" s="18"/>
    </x:row>
    <x:row r="750">
      <x:c r="H750" s="16"/>
      <x:c r="K750" s="10"/>
      <x:c r="M750" s="12"/>
      <x:c r="N750" s="18"/>
      <x:c r="O750" s="18"/>
    </x:row>
    <x:row r="751">
      <x:c r="H751" s="16"/>
      <x:c r="K751" s="10"/>
      <x:c r="M751" s="12"/>
      <x:c r="N751" s="18"/>
      <x:c r="O751" s="18"/>
    </x:row>
    <x:row r="752">
      <x:c r="H752" s="16"/>
      <x:c r="K752" s="10"/>
      <x:c r="M752" s="12"/>
      <x:c r="N752" s="18"/>
      <x:c r="O752" s="18"/>
    </x:row>
    <x:row r="753">
      <x:c r="H753" s="16"/>
      <x:c r="K753" s="10"/>
      <x:c r="M753" s="12"/>
      <x:c r="N753" s="18"/>
      <x:c r="O753" s="18"/>
    </x:row>
    <x:row r="754">
      <x:c r="H754" s="16"/>
      <x:c r="K754" s="10"/>
      <x:c r="M754" s="12"/>
      <x:c r="N754" s="18"/>
      <x:c r="O754" s="18"/>
    </x:row>
    <x:row r="755">
      <x:c r="H755" s="16"/>
      <x:c r="K755" s="10"/>
      <x:c r="M755" s="12"/>
      <x:c r="N755" s="18"/>
      <x:c r="O755" s="18"/>
    </x:row>
    <x:row r="756">
      <x:c r="H756" s="16"/>
      <x:c r="K756" s="10"/>
      <x:c r="M756" s="12"/>
      <x:c r="N756" s="18"/>
      <x:c r="O756" s="18"/>
    </x:row>
    <x:row r="757">
      <x:c r="H757" s="16"/>
      <x:c r="K757" s="10"/>
      <x:c r="M757" s="12"/>
      <x:c r="N757" s="18"/>
      <x:c r="O757" s="18"/>
    </x:row>
    <x:row r="758">
      <x:c r="H758" s="16"/>
      <x:c r="K758" s="10"/>
      <x:c r="M758" s="12"/>
      <x:c r="N758" s="18"/>
      <x:c r="O758" s="18"/>
    </x:row>
    <x:row r="759">
      <x:c r="H759" s="16"/>
      <x:c r="K759" s="10"/>
      <x:c r="M759" s="12"/>
      <x:c r="N759" s="18"/>
      <x:c r="O759" s="18"/>
    </x:row>
    <x:row r="760">
      <x:c r="H760" s="16"/>
      <x:c r="K760" s="10"/>
      <x:c r="M760" s="12"/>
      <x:c r="N760" s="18"/>
      <x:c r="O760" s="18"/>
    </x:row>
    <x:row r="761">
      <x:c r="H761" s="16"/>
      <x:c r="K761" s="10"/>
      <x:c r="M761" s="12"/>
      <x:c r="N761" s="18"/>
      <x:c r="O761" s="18"/>
    </x:row>
    <x:row r="762">
      <x:c r="H762" s="16"/>
      <x:c r="K762" s="10"/>
      <x:c r="M762" s="12"/>
      <x:c r="N762" s="18"/>
      <x:c r="O762" s="18"/>
    </x:row>
    <x:row r="763">
      <x:c r="H763" s="16"/>
      <x:c r="K763" s="10"/>
      <x:c r="M763" s="12"/>
      <x:c r="N763" s="18"/>
      <x:c r="O763" s="18"/>
    </x:row>
    <x:row r="764">
      <x:c r="H764" s="16"/>
      <x:c r="K764" s="10"/>
      <x:c r="M764" s="12"/>
      <x:c r="N764" s="18"/>
      <x:c r="O764" s="18"/>
    </x:row>
    <x:row r="765">
      <x:c r="H765" s="16"/>
      <x:c r="K765" s="10"/>
      <x:c r="M765" s="12"/>
      <x:c r="N765" s="18"/>
      <x:c r="O765" s="18"/>
    </x:row>
    <x:row r="766">
      <x:c r="H766" s="16"/>
      <x:c r="K766" s="10"/>
      <x:c r="M766" s="12"/>
      <x:c r="N766" s="18"/>
      <x:c r="O766" s="18"/>
    </x:row>
    <x:row r="767">
      <x:c r="H767" s="16"/>
      <x:c r="K767" s="10"/>
      <x:c r="M767" s="12"/>
      <x:c r="N767" s="18"/>
      <x:c r="O767" s="18"/>
    </x:row>
    <x:row r="768">
      <x:c r="H768" s="16"/>
      <x:c r="K768" s="10"/>
      <x:c r="M768" s="12"/>
      <x:c r="N768" s="18"/>
      <x:c r="O768" s="18"/>
    </x:row>
    <x:row r="769">
      <x:c r="H769" s="16"/>
      <x:c r="K769" s="10"/>
      <x:c r="M769" s="12"/>
      <x:c r="N769" s="18"/>
      <x:c r="O769" s="18"/>
    </x:row>
    <x:row r="770">
      <x:c r="H770" s="16"/>
      <x:c r="K770" s="10"/>
      <x:c r="M770" s="12"/>
      <x:c r="N770" s="18"/>
      <x:c r="O770" s="18"/>
    </x:row>
    <x:row r="771">
      <x:c r="H771" s="16"/>
      <x:c r="K771" s="10"/>
      <x:c r="M771" s="12"/>
      <x:c r="N771" s="18"/>
      <x:c r="O771" s="18"/>
    </x:row>
    <x:row r="772">
      <x:c r="H772" s="16"/>
      <x:c r="K772" s="10"/>
      <x:c r="M772" s="12"/>
      <x:c r="N772" s="18"/>
      <x:c r="O772" s="18"/>
    </x:row>
    <x:row r="773">
      <x:c r="H773" s="16"/>
      <x:c r="K773" s="10"/>
      <x:c r="M773" s="12"/>
      <x:c r="N773" s="18"/>
      <x:c r="O773" s="18"/>
    </x:row>
    <x:row r="774">
      <x:c r="H774" s="16"/>
      <x:c r="K774" s="10"/>
      <x:c r="M774" s="12"/>
      <x:c r="N774" s="18"/>
      <x:c r="O774" s="18"/>
    </x:row>
    <x:row r="775">
      <x:c r="H775" s="16"/>
      <x:c r="K775" s="10"/>
      <x:c r="M775" s="12"/>
      <x:c r="N775" s="18"/>
      <x:c r="O775" s="18"/>
    </x:row>
    <x:row r="776">
      <x:c r="H776" s="16"/>
      <x:c r="K776" s="10"/>
      <x:c r="M776" s="12"/>
      <x:c r="N776" s="18"/>
      <x:c r="O776" s="18"/>
    </x:row>
    <x:row r="777">
      <x:c r="H777" s="16"/>
      <x:c r="K777" s="10"/>
      <x:c r="M777" s="12"/>
      <x:c r="N777" s="18"/>
      <x:c r="O777" s="18"/>
    </x:row>
    <x:row r="778">
      <x:c r="H778" s="16"/>
      <x:c r="K778" s="10"/>
      <x:c r="M778" s="12"/>
      <x:c r="N778" s="18"/>
      <x:c r="O778" s="18"/>
    </x:row>
    <x:row r="779">
      <x:c r="H779" s="16"/>
      <x:c r="K779" s="10"/>
      <x:c r="M779" s="12"/>
      <x:c r="N779" s="18"/>
      <x:c r="O779" s="18"/>
    </x:row>
    <x:row r="780">
      <x:c r="H780" s="16"/>
      <x:c r="K780" s="10"/>
      <x:c r="M780" s="12"/>
      <x:c r="N780" s="18"/>
      <x:c r="O780" s="18"/>
    </x:row>
    <x:row r="781">
      <x:c r="H781" s="16"/>
      <x:c r="K781" s="10"/>
      <x:c r="M781" s="12"/>
      <x:c r="N781" s="18"/>
      <x:c r="O781" s="18"/>
    </x:row>
    <x:row r="782">
      <x:c r="H782" s="16"/>
      <x:c r="K782" s="10"/>
      <x:c r="M782" s="12"/>
      <x:c r="N782" s="18"/>
      <x:c r="O782" s="18"/>
    </x:row>
    <x:row r="783">
      <x:c r="H783" s="16"/>
      <x:c r="K783" s="10"/>
      <x:c r="M783" s="12"/>
      <x:c r="N783" s="18"/>
      <x:c r="O783" s="18"/>
    </x:row>
    <x:row r="784">
      <x:c r="H784" s="16"/>
      <x:c r="K784" s="10"/>
      <x:c r="M784" s="12"/>
      <x:c r="N784" s="18"/>
      <x:c r="O784" s="18"/>
    </x:row>
    <x:row r="785">
      <x:c r="H785" s="16"/>
      <x:c r="K785" s="10"/>
      <x:c r="M785" s="12"/>
      <x:c r="N785" s="18"/>
      <x:c r="O785" s="18"/>
    </x:row>
    <x:row r="786">
      <x:c r="H786" s="16"/>
      <x:c r="K786" s="10"/>
      <x:c r="M786" s="12"/>
      <x:c r="N786" s="18"/>
      <x:c r="O786" s="18"/>
    </x:row>
    <x:row r="787">
      <x:c r="H787" s="16"/>
      <x:c r="K787" s="10"/>
      <x:c r="M787" s="12"/>
      <x:c r="N787" s="18"/>
      <x:c r="O787" s="18"/>
    </x:row>
    <x:row r="788">
      <x:c r="H788" s="16"/>
      <x:c r="K788" s="10"/>
      <x:c r="M788" s="12"/>
      <x:c r="N788" s="18"/>
      <x:c r="O788" s="18"/>
    </x:row>
    <x:row r="789">
      <x:c r="H789" s="16"/>
      <x:c r="K789" s="10"/>
      <x:c r="M789" s="12"/>
      <x:c r="N789" s="18"/>
      <x:c r="O789" s="18"/>
    </x:row>
    <x:row r="790">
      <x:c r="H790" s="16"/>
      <x:c r="K790" s="10"/>
      <x:c r="M790" s="12"/>
      <x:c r="N790" s="18"/>
      <x:c r="O790" s="18"/>
    </x:row>
    <x:row r="791">
      <x:c r="H791" s="16"/>
      <x:c r="K791" s="10"/>
      <x:c r="M791" s="12"/>
      <x:c r="N791" s="18"/>
      <x:c r="O791" s="18"/>
    </x:row>
    <x:row r="792">
      <x:c r="H792" s="16"/>
      <x:c r="K792" s="10"/>
      <x:c r="M792" s="12"/>
      <x:c r="N792" s="18"/>
      <x:c r="O792" s="18"/>
    </x:row>
    <x:row r="793">
      <x:c r="H793" s="16"/>
      <x:c r="K793" s="10"/>
      <x:c r="M793" s="12"/>
      <x:c r="N793" s="18"/>
      <x:c r="O793" s="18"/>
    </x:row>
    <x:row r="794">
      <x:c r="H794" s="16"/>
      <x:c r="K794" s="10"/>
      <x:c r="M794" s="12"/>
      <x:c r="N794" s="18"/>
      <x:c r="O794" s="18"/>
    </x:row>
    <x:row r="795">
      <x:c r="H795" s="16"/>
      <x:c r="K795" s="10"/>
      <x:c r="M795" s="12"/>
      <x:c r="N795" s="18"/>
      <x:c r="O795" s="18"/>
    </x:row>
    <x:row r="796">
      <x:c r="H796" s="16"/>
      <x:c r="K796" s="10"/>
      <x:c r="M796" s="12"/>
      <x:c r="N796" s="18"/>
      <x:c r="O796" s="18"/>
    </x:row>
    <x:row r="797">
      <x:c r="H797" s="16"/>
      <x:c r="K797" s="10"/>
      <x:c r="M797" s="12"/>
      <x:c r="N797" s="18"/>
      <x:c r="O797" s="18"/>
    </x:row>
    <x:row r="798">
      <x:c r="H798" s="16"/>
      <x:c r="K798" s="10"/>
      <x:c r="M798" s="12"/>
      <x:c r="N798" s="18"/>
      <x:c r="O798" s="18"/>
    </x:row>
    <x:row r="799">
      <x:c r="H799" s="16"/>
      <x:c r="K799" s="10"/>
      <x:c r="M799" s="12"/>
      <x:c r="N799" s="18"/>
      <x:c r="O799" s="18"/>
    </x:row>
    <x:row r="800">
      <x:c r="H800" s="16"/>
      <x:c r="K800" s="10"/>
      <x:c r="M800" s="12"/>
      <x:c r="N800" s="18"/>
      <x:c r="O800" s="18"/>
    </x:row>
    <x:row r="801">
      <x:c r="H801" s="16"/>
      <x:c r="K801" s="10"/>
      <x:c r="M801" s="12"/>
      <x:c r="N801" s="18"/>
      <x:c r="O801" s="18"/>
    </x:row>
    <x:row r="802">
      <x:c r="H802" s="16"/>
      <x:c r="K802" s="10"/>
      <x:c r="M802" s="12"/>
      <x:c r="N802" s="18"/>
      <x:c r="O802" s="18"/>
    </x:row>
    <x:row r="803">
      <x:c r="H803" s="16"/>
      <x:c r="K803" s="10"/>
      <x:c r="M803" s="12"/>
      <x:c r="N803" s="18"/>
      <x:c r="O803" s="18"/>
    </x:row>
    <x:row r="804">
      <x:c r="H804" s="16"/>
      <x:c r="K804" s="10"/>
      <x:c r="M804" s="12"/>
      <x:c r="N804" s="18"/>
      <x:c r="O804" s="18"/>
    </x:row>
    <x:row r="805">
      <x:c r="H805" s="16"/>
      <x:c r="K805" s="10"/>
      <x:c r="M805" s="12"/>
      <x:c r="N805" s="18"/>
      <x:c r="O805" s="18"/>
    </x:row>
    <x:row r="806">
      <x:c r="H806" s="16"/>
      <x:c r="K806" s="10"/>
      <x:c r="M806" s="12"/>
      <x:c r="N806" s="18"/>
      <x:c r="O806" s="18"/>
    </x:row>
    <x:row r="807">
      <x:c r="H807" s="16"/>
      <x:c r="K807" s="10"/>
      <x:c r="M807" s="12"/>
      <x:c r="N807" s="18"/>
      <x:c r="O807" s="18"/>
    </x:row>
    <x:row r="808">
      <x:c r="H808" s="16"/>
      <x:c r="K808" s="10"/>
      <x:c r="M808" s="12"/>
      <x:c r="N808" s="18"/>
      <x:c r="O808" s="18"/>
    </x:row>
    <x:row r="809">
      <x:c r="H809" s="16"/>
      <x:c r="K809" s="10"/>
      <x:c r="M809" s="12"/>
      <x:c r="N809" s="18"/>
      <x:c r="O809" s="18"/>
    </x:row>
    <x:row r="810">
      <x:c r="H810" s="16"/>
      <x:c r="K810" s="10"/>
      <x:c r="M810" s="12"/>
      <x:c r="N810" s="18"/>
      <x:c r="O810" s="18"/>
    </x:row>
    <x:row r="811">
      <x:c r="H811" s="16"/>
      <x:c r="K811" s="10"/>
      <x:c r="M811" s="12"/>
      <x:c r="N811" s="18"/>
      <x:c r="O811" s="18"/>
    </x:row>
    <x:row r="812">
      <x:c r="H812" s="16"/>
      <x:c r="K812" s="10"/>
      <x:c r="M812" s="12"/>
      <x:c r="N812" s="18"/>
      <x:c r="O812" s="18"/>
    </x:row>
    <x:row r="813">
      <x:c r="H813" s="16"/>
      <x:c r="K813" s="10"/>
      <x:c r="M813" s="12"/>
      <x:c r="N813" s="18"/>
      <x:c r="O813" s="18"/>
    </x:row>
    <x:row r="814">
      <x:c r="H814" s="16"/>
      <x:c r="K814" s="10"/>
      <x:c r="M814" s="12"/>
      <x:c r="N814" s="18"/>
      <x:c r="O814" s="18"/>
    </x:row>
    <x:row r="815">
      <x:c r="H815" s="16"/>
      <x:c r="K815" s="10"/>
      <x:c r="M815" s="12"/>
      <x:c r="N815" s="18"/>
      <x:c r="O815" s="18"/>
    </x:row>
    <x:row r="816">
      <x:c r="H816" s="16"/>
      <x:c r="K816" s="10"/>
      <x:c r="M816" s="12"/>
      <x:c r="N816" s="18"/>
      <x:c r="O816" s="18"/>
    </x:row>
    <x:row r="817">
      <x:c r="H817" s="16"/>
      <x:c r="K817" s="10"/>
      <x:c r="M817" s="12"/>
      <x:c r="N817" s="18"/>
      <x:c r="O817" s="18"/>
    </x:row>
    <x:row r="818">
      <x:c r="H818" s="16"/>
      <x:c r="K818" s="10"/>
      <x:c r="M818" s="12"/>
      <x:c r="N818" s="18"/>
      <x:c r="O818" s="18"/>
    </x:row>
    <x:row r="819">
      <x:c r="H819" s="16"/>
      <x:c r="K819" s="10"/>
      <x:c r="M819" s="12"/>
      <x:c r="N819" s="18"/>
      <x:c r="O819" s="18"/>
    </x:row>
    <x:row r="820">
      <x:c r="H820" s="16"/>
      <x:c r="K820" s="10"/>
      <x:c r="M820" s="12"/>
      <x:c r="N820" s="18"/>
      <x:c r="O820" s="18"/>
    </x:row>
    <x:row r="821">
      <x:c r="H821" s="16"/>
      <x:c r="K821" s="10"/>
      <x:c r="M821" s="12"/>
      <x:c r="N821" s="18"/>
      <x:c r="O821" s="18"/>
    </x:row>
    <x:row r="822">
      <x:c r="H822" s="16"/>
      <x:c r="K822" s="10"/>
      <x:c r="M822" s="12"/>
      <x:c r="N822" s="18"/>
      <x:c r="O822" s="18"/>
    </x:row>
    <x:row r="823">
      <x:c r="H823" s="16"/>
      <x:c r="K823" s="10"/>
      <x:c r="M823" s="12"/>
      <x:c r="N823" s="18"/>
      <x:c r="O823" s="18"/>
    </x:row>
    <x:row r="824">
      <x:c r="H824" s="16"/>
      <x:c r="K824" s="10"/>
      <x:c r="M824" s="12"/>
      <x:c r="N824" s="18"/>
      <x:c r="O824" s="18"/>
    </x:row>
    <x:row r="825">
      <x:c r="H825" s="16"/>
      <x:c r="K825" s="10"/>
      <x:c r="M825" s="12"/>
      <x:c r="N825" s="18"/>
      <x:c r="O825" s="18"/>
    </x:row>
    <x:row r="826">
      <x:c r="H826" s="16"/>
      <x:c r="K826" s="10"/>
      <x:c r="M826" s="12"/>
      <x:c r="N826" s="18"/>
      <x:c r="O826" s="18"/>
    </x:row>
    <x:row r="827">
      <x:c r="H827" s="16"/>
      <x:c r="K827" s="10"/>
      <x:c r="M827" s="12"/>
      <x:c r="N827" s="18"/>
      <x:c r="O827" s="18"/>
    </x:row>
    <x:row r="828">
      <x:c r="H828" s="16"/>
      <x:c r="K828" s="10"/>
      <x:c r="M828" s="12"/>
      <x:c r="N828" s="18"/>
      <x:c r="O828" s="18"/>
    </x:row>
    <x:row r="829">
      <x:c r="H829" s="16"/>
      <x:c r="K829" s="10"/>
      <x:c r="M829" s="12"/>
      <x:c r="N829" s="18"/>
      <x:c r="O829" s="18"/>
    </x:row>
    <x:row r="830">
      <x:c r="H830" s="16"/>
      <x:c r="K830" s="10"/>
      <x:c r="M830" s="12"/>
      <x:c r="N830" s="18"/>
      <x:c r="O830" s="18"/>
    </x:row>
    <x:row r="831">
      <x:c r="H831" s="16"/>
      <x:c r="K831" s="10"/>
      <x:c r="M831" s="12"/>
      <x:c r="N831" s="18"/>
      <x:c r="O831" s="18"/>
    </x:row>
    <x:row r="832">
      <x:c r="H832" s="16"/>
      <x:c r="K832" s="10"/>
      <x:c r="M832" s="12"/>
      <x:c r="N832" s="18"/>
      <x:c r="O832" s="18"/>
    </x:row>
    <x:row r="833">
      <x:c r="H833" s="16"/>
      <x:c r="K833" s="10"/>
      <x:c r="M833" s="12"/>
      <x:c r="N833" s="18"/>
      <x:c r="O833" s="18"/>
    </x:row>
    <x:row r="834">
      <x:c r="H834" s="16"/>
      <x:c r="K834" s="10"/>
      <x:c r="M834" s="12"/>
      <x:c r="N834" s="18"/>
      <x:c r="O834" s="18"/>
    </x:row>
    <x:row r="835">
      <x:c r="H835" s="16"/>
      <x:c r="K835" s="10"/>
      <x:c r="M835" s="12"/>
      <x:c r="N835" s="18"/>
      <x:c r="O835" s="18"/>
    </x:row>
    <x:row r="836">
      <x:c r="H836" s="16"/>
      <x:c r="K836" s="10"/>
      <x:c r="M836" s="12"/>
      <x:c r="N836" s="18"/>
      <x:c r="O836" s="18"/>
    </x:row>
    <x:row r="837">
      <x:c r="H837" s="16"/>
      <x:c r="K837" s="10"/>
      <x:c r="M837" s="12"/>
      <x:c r="N837" s="18"/>
      <x:c r="O837" s="18"/>
    </x:row>
    <x:row r="838">
      <x:c r="H838" s="16"/>
      <x:c r="K838" s="10"/>
      <x:c r="M838" s="12"/>
      <x:c r="N838" s="18"/>
      <x:c r="O838" s="18"/>
    </x:row>
    <x:row r="839">
      <x:c r="H839" s="16"/>
      <x:c r="K839" s="10"/>
      <x:c r="M839" s="12"/>
      <x:c r="N839" s="18"/>
      <x:c r="O839" s="18"/>
    </x:row>
    <x:row r="840">
      <x:c r="H840" s="16"/>
      <x:c r="K840" s="10"/>
      <x:c r="M840" s="12"/>
      <x:c r="N840" s="18"/>
      <x:c r="O840" s="18"/>
    </x:row>
    <x:row r="841">
      <x:c r="H841" s="16"/>
      <x:c r="K841" s="10"/>
      <x:c r="M841" s="12"/>
      <x:c r="N841" s="18"/>
      <x:c r="O841" s="18"/>
    </x:row>
    <x:row r="842">
      <x:c r="H842" s="16"/>
      <x:c r="K842" s="10"/>
      <x:c r="M842" s="12"/>
      <x:c r="N842" s="18"/>
      <x:c r="O842" s="18"/>
    </x:row>
    <x:row r="843">
      <x:c r="H843" s="16"/>
      <x:c r="K843" s="10"/>
      <x:c r="M843" s="12"/>
      <x:c r="N843" s="18"/>
      <x:c r="O843" s="18"/>
    </x:row>
    <x:row r="844">
      <x:c r="H844" s="16"/>
      <x:c r="K844" s="10"/>
      <x:c r="M844" s="12"/>
      <x:c r="N844" s="18"/>
      <x:c r="O844" s="18"/>
    </x:row>
    <x:row r="845">
      <x:c r="H845" s="16"/>
      <x:c r="K845" s="10"/>
      <x:c r="M845" s="12"/>
      <x:c r="N845" s="18"/>
      <x:c r="O845" s="18"/>
    </x:row>
    <x:row r="846">
      <x:c r="H846" s="16"/>
      <x:c r="K846" s="10"/>
      <x:c r="M846" s="12"/>
      <x:c r="N846" s="18"/>
      <x:c r="O846" s="18"/>
    </x:row>
    <x:row r="847">
      <x:c r="H847" s="16"/>
      <x:c r="K847" s="10"/>
      <x:c r="M847" s="12"/>
      <x:c r="N847" s="18"/>
      <x:c r="O847" s="18"/>
    </x:row>
    <x:row r="848">
      <x:c r="H848" s="16"/>
      <x:c r="K848" s="10"/>
      <x:c r="M848" s="12"/>
      <x:c r="N848" s="18"/>
      <x:c r="O848" s="18"/>
    </x:row>
    <x:row r="849">
      <x:c r="H849" s="16"/>
      <x:c r="K849" s="10"/>
      <x:c r="M849" s="12"/>
      <x:c r="N849" s="18"/>
      <x:c r="O849" s="18"/>
    </x:row>
    <x:row r="850">
      <x:c r="H850" s="16"/>
      <x:c r="K850" s="10"/>
      <x:c r="M850" s="12"/>
      <x:c r="N850" s="18"/>
      <x:c r="O850" s="18"/>
    </x:row>
    <x:row r="851">
      <x:c r="H851" s="16"/>
      <x:c r="K851" s="10"/>
      <x:c r="M851" s="12"/>
      <x:c r="N851" s="18"/>
      <x:c r="O851" s="18"/>
    </x:row>
    <x:row r="852">
      <x:c r="H852" s="16"/>
      <x:c r="K852" s="10"/>
      <x:c r="M852" s="12"/>
      <x:c r="N852" s="18"/>
      <x:c r="O852" s="18"/>
    </x:row>
    <x:row r="853">
      <x:c r="H853" s="16"/>
      <x:c r="K853" s="10"/>
      <x:c r="M853" s="12"/>
      <x:c r="N853" s="18"/>
      <x:c r="O853" s="18"/>
    </x:row>
    <x:row r="854">
      <x:c r="H854" s="16"/>
      <x:c r="K854" s="10"/>
      <x:c r="M854" s="12"/>
      <x:c r="N854" s="18"/>
      <x:c r="O854" s="18"/>
    </x:row>
    <x:row r="855">
      <x:c r="H855" s="16"/>
      <x:c r="K855" s="10"/>
      <x:c r="M855" s="12"/>
      <x:c r="N855" s="18"/>
      <x:c r="O855" s="18"/>
    </x:row>
    <x:row r="856">
      <x:c r="H856" s="16"/>
      <x:c r="K856" s="10"/>
      <x:c r="M856" s="12"/>
      <x:c r="N856" s="18"/>
      <x:c r="O856" s="18"/>
    </x:row>
    <x:row r="857">
      <x:c r="H857" s="16"/>
      <x:c r="K857" s="10"/>
      <x:c r="M857" s="12"/>
      <x:c r="N857" s="18"/>
      <x:c r="O857" s="18"/>
    </x:row>
    <x:row r="858">
      <x:c r="H858" s="16"/>
      <x:c r="K858" s="10"/>
      <x:c r="M858" s="12"/>
      <x:c r="N858" s="18"/>
      <x:c r="O858" s="18"/>
    </x:row>
    <x:row r="859">
      <x:c r="H859" s="16"/>
      <x:c r="K859" s="10"/>
      <x:c r="M859" s="12"/>
      <x:c r="N859" s="18"/>
      <x:c r="O859" s="18"/>
    </x:row>
    <x:row r="860">
      <x:c r="H860" s="16"/>
      <x:c r="K860" s="10"/>
      <x:c r="M860" s="12"/>
      <x:c r="N860" s="18"/>
      <x:c r="O860" s="18"/>
    </x:row>
    <x:row r="861">
      <x:c r="H861" s="16"/>
      <x:c r="K861" s="10"/>
      <x:c r="M861" s="12"/>
      <x:c r="N861" s="18"/>
      <x:c r="O861" s="18"/>
    </x:row>
    <x:row r="862">
      <x:c r="H862" s="16"/>
      <x:c r="K862" s="10"/>
      <x:c r="M862" s="12"/>
      <x:c r="N862" s="18"/>
      <x:c r="O862" s="18"/>
    </x:row>
    <x:row r="863">
      <x:c r="H863" s="16"/>
      <x:c r="K863" s="10"/>
      <x:c r="M863" s="12"/>
      <x:c r="N863" s="18"/>
      <x:c r="O863" s="18"/>
    </x:row>
    <x:row r="864">
      <x:c r="H864" s="16"/>
      <x:c r="K864" s="10"/>
      <x:c r="M864" s="12"/>
      <x:c r="N864" s="18"/>
      <x:c r="O864" s="18"/>
    </x:row>
    <x:row r="865">
      <x:c r="H865" s="16"/>
      <x:c r="K865" s="10"/>
      <x:c r="M865" s="12"/>
      <x:c r="N865" s="18"/>
      <x:c r="O865" s="18"/>
    </x:row>
    <x:row r="866">
      <x:c r="H866" s="16"/>
      <x:c r="K866" s="10"/>
      <x:c r="M866" s="12"/>
      <x:c r="N866" s="18"/>
      <x:c r="O866" s="18"/>
    </x:row>
    <x:row r="867">
      <x:c r="H867" s="16"/>
      <x:c r="K867" s="10"/>
      <x:c r="M867" s="12"/>
      <x:c r="N867" s="18"/>
      <x:c r="O867" s="18"/>
    </x:row>
    <x:row r="868">
      <x:c r="H868" s="16"/>
      <x:c r="K868" s="10"/>
      <x:c r="M868" s="12"/>
      <x:c r="N868" s="18"/>
      <x:c r="O868" s="18"/>
    </x:row>
    <x:row r="869">
      <x:c r="H869" s="16"/>
      <x:c r="K869" s="10"/>
      <x:c r="M869" s="12"/>
      <x:c r="N869" s="18"/>
      <x:c r="O869" s="18"/>
    </x:row>
    <x:row r="870">
      <x:c r="H870" s="16"/>
      <x:c r="K870" s="10"/>
      <x:c r="M870" s="12"/>
      <x:c r="N870" s="18"/>
      <x:c r="O870" s="18"/>
    </x:row>
    <x:row r="871">
      <x:c r="H871" s="16"/>
      <x:c r="K871" s="10"/>
      <x:c r="M871" s="12"/>
      <x:c r="N871" s="18"/>
      <x:c r="O871" s="18"/>
    </x:row>
    <x:row r="872">
      <x:c r="H872" s="16"/>
      <x:c r="K872" s="10"/>
      <x:c r="M872" s="12"/>
      <x:c r="N872" s="18"/>
      <x:c r="O872" s="18"/>
    </x:row>
    <x:row r="873">
      <x:c r="H873" s="16"/>
      <x:c r="K873" s="10"/>
      <x:c r="M873" s="12"/>
      <x:c r="N873" s="18"/>
      <x:c r="O873" s="18"/>
    </x:row>
    <x:row r="874">
      <x:c r="H874" s="16"/>
      <x:c r="K874" s="10"/>
      <x:c r="M874" s="12"/>
      <x:c r="N874" s="18"/>
      <x:c r="O874" s="18"/>
    </x:row>
    <x:row r="875">
      <x:c r="H875" s="16"/>
      <x:c r="K875" s="10"/>
      <x:c r="M875" s="12"/>
      <x:c r="N875" s="18"/>
      <x:c r="O875" s="18"/>
    </x:row>
    <x:row r="876">
      <x:c r="H876" s="16"/>
      <x:c r="K876" s="10"/>
      <x:c r="M876" s="12"/>
      <x:c r="N876" s="18"/>
      <x:c r="O876" s="18"/>
    </x:row>
    <x:row r="877">
      <x:c r="H877" s="16"/>
      <x:c r="K877" s="10"/>
      <x:c r="M877" s="12"/>
      <x:c r="N877" s="18"/>
      <x:c r="O877" s="18"/>
    </x:row>
    <x:row r="878">
      <x:c r="H878" s="16"/>
      <x:c r="K878" s="10"/>
      <x:c r="M878" s="12"/>
      <x:c r="N878" s="18"/>
      <x:c r="O878" s="18"/>
    </x:row>
    <x:row r="879">
      <x:c r="H879" s="16"/>
      <x:c r="K879" s="10"/>
      <x:c r="M879" s="12"/>
      <x:c r="N879" s="18"/>
      <x:c r="O879" s="18"/>
    </x:row>
    <x:row r="880">
      <x:c r="H880" s="16"/>
      <x:c r="K880" s="10"/>
      <x:c r="M880" s="12"/>
      <x:c r="N880" s="18"/>
      <x:c r="O880" s="18"/>
    </x:row>
    <x:row r="881">
      <x:c r="H881" s="16"/>
      <x:c r="K881" s="10"/>
      <x:c r="M881" s="12"/>
      <x:c r="N881" s="18"/>
      <x:c r="O881" s="18"/>
    </x:row>
    <x:row r="882">
      <x:c r="H882" s="16"/>
      <x:c r="K882" s="10"/>
      <x:c r="M882" s="12"/>
      <x:c r="N882" s="18"/>
      <x:c r="O882" s="18"/>
    </x:row>
    <x:row r="883">
      <x:c r="H883" s="16"/>
      <x:c r="K883" s="10"/>
      <x:c r="M883" s="12"/>
      <x:c r="N883" s="18"/>
      <x:c r="O883" s="18"/>
    </x:row>
    <x:row r="884">
      <x:c r="H884" s="16"/>
      <x:c r="K884" s="10"/>
      <x:c r="M884" s="12"/>
      <x:c r="N884" s="18"/>
      <x:c r="O884" s="18"/>
    </x:row>
    <x:row r="885">
      <x:c r="H885" s="16"/>
      <x:c r="K885" s="10"/>
      <x:c r="M885" s="12"/>
      <x:c r="N885" s="18"/>
      <x:c r="O885" s="18"/>
    </x:row>
    <x:row r="886">
      <x:c r="H886" s="16"/>
      <x:c r="K886" s="10"/>
      <x:c r="M886" s="12"/>
      <x:c r="N886" s="18"/>
      <x:c r="O886" s="18"/>
    </x:row>
    <x:row r="887">
      <x:c r="H887" s="16"/>
      <x:c r="K887" s="10"/>
      <x:c r="M887" s="12"/>
      <x:c r="N887" s="18"/>
      <x:c r="O887" s="18"/>
    </x:row>
    <x:row r="888">
      <x:c r="H888" s="16"/>
      <x:c r="K888" s="10"/>
      <x:c r="M888" s="12"/>
      <x:c r="N888" s="18"/>
      <x:c r="O888" s="18"/>
    </x:row>
    <x:row r="889">
      <x:c r="H889" s="16"/>
      <x:c r="K889" s="10"/>
      <x:c r="M889" s="12"/>
      <x:c r="N889" s="18"/>
      <x:c r="O889" s="18"/>
    </x:row>
    <x:row r="890">
      <x:c r="H890" s="16"/>
      <x:c r="K890" s="10"/>
      <x:c r="M890" s="12"/>
      <x:c r="N890" s="18"/>
      <x:c r="O890" s="18"/>
    </x:row>
    <x:row r="891">
      <x:c r="H891" s="16"/>
      <x:c r="K891" s="10"/>
      <x:c r="M891" s="12"/>
      <x:c r="N891" s="18"/>
      <x:c r="O891" s="18"/>
    </x:row>
    <x:row r="892">
      <x:c r="H892" s="16"/>
      <x:c r="K892" s="10"/>
      <x:c r="M892" s="12"/>
      <x:c r="N892" s="18"/>
      <x:c r="O892" s="18"/>
    </x:row>
    <x:row r="893">
      <x:c r="H893" s="16"/>
      <x:c r="K893" s="10"/>
      <x:c r="M893" s="12"/>
      <x:c r="N893" s="18"/>
      <x:c r="O893" s="18"/>
    </x:row>
    <x:row r="894">
      <x:c r="H894" s="16"/>
      <x:c r="K894" s="10"/>
      <x:c r="M894" s="12"/>
      <x:c r="N894" s="18"/>
      <x:c r="O894" s="18"/>
    </x:row>
    <x:row r="895">
      <x:c r="H895" s="16"/>
      <x:c r="K895" s="10"/>
      <x:c r="M895" s="12"/>
      <x:c r="N895" s="18"/>
      <x:c r="O895" s="18"/>
    </x:row>
    <x:row r="896">
      <x:c r="H896" s="16"/>
      <x:c r="K896" s="10"/>
      <x:c r="M896" s="12"/>
      <x:c r="N896" s="18"/>
      <x:c r="O896" s="18"/>
    </x:row>
    <x:row r="897">
      <x:c r="H897" s="16"/>
      <x:c r="K897" s="10"/>
      <x:c r="M897" s="12"/>
      <x:c r="N897" s="18"/>
      <x:c r="O897" s="18"/>
    </x:row>
    <x:row r="898">
      <x:c r="H898" s="16"/>
      <x:c r="K898" s="10"/>
      <x:c r="M898" s="12"/>
      <x:c r="N898" s="18"/>
      <x:c r="O898" s="18"/>
    </x:row>
    <x:row r="899">
      <x:c r="H899" s="16"/>
      <x:c r="K899" s="10"/>
      <x:c r="M899" s="12"/>
      <x:c r="N899" s="18"/>
      <x:c r="O899" s="18"/>
    </x:row>
    <x:row r="900">
      <x:c r="H900" s="16"/>
      <x:c r="K900" s="10"/>
      <x:c r="M900" s="12"/>
      <x:c r="N900" s="18"/>
      <x:c r="O900" s="18"/>
    </x:row>
    <x:row r="901">
      <x:c r="H901" s="16"/>
      <x:c r="K901" s="10"/>
      <x:c r="M901" s="12"/>
      <x:c r="N901" s="18"/>
      <x:c r="O901" s="18"/>
    </x:row>
    <x:row r="902">
      <x:c r="H902" s="16"/>
      <x:c r="K902" s="10"/>
      <x:c r="M902" s="12"/>
      <x:c r="N902" s="18"/>
      <x:c r="O902" s="18"/>
    </x:row>
    <x:row r="903">
      <x:c r="H903" s="16"/>
      <x:c r="K903" s="10"/>
      <x:c r="M903" s="12"/>
      <x:c r="N903" s="18"/>
      <x:c r="O903" s="18"/>
    </x:row>
    <x:row r="904">
      <x:c r="H904" s="16"/>
      <x:c r="K904" s="10"/>
      <x:c r="M904" s="12"/>
      <x:c r="N904" s="18"/>
      <x:c r="O904" s="18"/>
    </x:row>
    <x:row r="905">
      <x:c r="H905" s="16"/>
      <x:c r="K905" s="10"/>
      <x:c r="M905" s="12"/>
      <x:c r="N905" s="18"/>
      <x:c r="O905" s="18"/>
    </x:row>
    <x:row r="906">
      <x:c r="H906" s="16"/>
      <x:c r="K906" s="10"/>
      <x:c r="M906" s="12"/>
      <x:c r="N906" s="18"/>
      <x:c r="O906" s="18"/>
    </x:row>
    <x:row r="907">
      <x:c r="H907" s="16"/>
      <x:c r="K907" s="10"/>
      <x:c r="M907" s="12"/>
      <x:c r="N907" s="18"/>
      <x:c r="O907" s="18"/>
    </x:row>
    <x:row r="908">
      <x:c r="H908" s="16"/>
      <x:c r="K908" s="10"/>
      <x:c r="M908" s="12"/>
      <x:c r="N908" s="18"/>
      <x:c r="O908" s="18"/>
    </x:row>
    <x:row r="909">
      <x:c r="H909" s="16"/>
      <x:c r="K909" s="10"/>
      <x:c r="M909" s="12"/>
      <x:c r="N909" s="18"/>
      <x:c r="O909" s="18"/>
    </x:row>
    <x:row r="910">
      <x:c r="H910" s="16"/>
      <x:c r="K910" s="10"/>
      <x:c r="M910" s="12"/>
      <x:c r="N910" s="18"/>
      <x:c r="O910" s="18"/>
    </x:row>
    <x:row r="911">
      <x:c r="H911" s="16"/>
      <x:c r="K911" s="10"/>
      <x:c r="M911" s="12"/>
      <x:c r="N911" s="18"/>
      <x:c r="O911" s="18"/>
    </x:row>
    <x:row r="912">
      <x:c r="H912" s="16"/>
      <x:c r="K912" s="10"/>
      <x:c r="M912" s="12"/>
      <x:c r="N912" s="18"/>
      <x:c r="O912" s="18"/>
    </x:row>
    <x:row r="913">
      <x:c r="H913" s="16"/>
      <x:c r="K913" s="10"/>
      <x:c r="M913" s="12"/>
      <x:c r="N913" s="18"/>
      <x:c r="O913" s="18"/>
    </x:row>
    <x:row r="914">
      <x:c r="H914" s="16"/>
      <x:c r="K914" s="10"/>
      <x:c r="M914" s="12"/>
      <x:c r="N914" s="18"/>
      <x:c r="O914" s="18"/>
    </x:row>
    <x:row r="915">
      <x:c r="H915" s="16"/>
      <x:c r="K915" s="10"/>
      <x:c r="M915" s="12"/>
      <x:c r="N915" s="18"/>
      <x:c r="O915" s="18"/>
    </x:row>
    <x:row r="916">
      <x:c r="H916" s="16"/>
      <x:c r="K916" s="10"/>
      <x:c r="M916" s="12"/>
      <x:c r="N916" s="18"/>
      <x:c r="O916" s="18"/>
    </x:row>
    <x:row r="917">
      <x:c r="H917" s="16"/>
      <x:c r="K917" s="10"/>
      <x:c r="M917" s="12"/>
      <x:c r="N917" s="18"/>
      <x:c r="O917" s="18"/>
    </x:row>
    <x:row r="918">
      <x:c r="H918" s="16"/>
      <x:c r="K918" s="10"/>
      <x:c r="M918" s="12"/>
      <x:c r="N918" s="18"/>
      <x:c r="O918" s="18"/>
    </x:row>
    <x:row r="919">
      <x:c r="H919" s="16"/>
      <x:c r="K919" s="10"/>
      <x:c r="M919" s="12"/>
      <x:c r="N919" s="18"/>
      <x:c r="O919" s="18"/>
    </x:row>
    <x:row r="920">
      <x:c r="H920" s="16"/>
      <x:c r="K920" s="10"/>
      <x:c r="M920" s="12"/>
      <x:c r="N920" s="18"/>
      <x:c r="O920" s="18"/>
    </x:row>
    <x:row r="921">
      <x:c r="H921" s="16"/>
      <x:c r="K921" s="10"/>
      <x:c r="M921" s="12"/>
      <x:c r="N921" s="18"/>
      <x:c r="O921" s="18"/>
    </x:row>
    <x:row r="922">
      <x:c r="H922" s="16"/>
      <x:c r="K922" s="10"/>
      <x:c r="M922" s="12"/>
      <x:c r="N922" s="18"/>
      <x:c r="O922" s="18"/>
    </x:row>
    <x:row r="923">
      <x:c r="H923" s="16"/>
      <x:c r="K923" s="10"/>
      <x:c r="M923" s="12"/>
      <x:c r="N923" s="18"/>
      <x:c r="O923" s="18"/>
    </x:row>
    <x:row r="924">
      <x:c r="H924" s="16"/>
      <x:c r="K924" s="10"/>
      <x:c r="M924" s="12"/>
      <x:c r="N924" s="18"/>
      <x:c r="O924" s="18"/>
    </x:row>
    <x:row r="925">
      <x:c r="H925" s="16"/>
      <x:c r="K925" s="10"/>
      <x:c r="M925" s="12"/>
      <x:c r="N925" s="18"/>
      <x:c r="O925" s="18"/>
    </x:row>
    <x:row r="926">
      <x:c r="H926" s="16"/>
      <x:c r="K926" s="10"/>
      <x:c r="M926" s="12"/>
      <x:c r="N926" s="18"/>
      <x:c r="O926" s="18"/>
    </x:row>
    <x:row r="927">
      <x:c r="H927" s="16"/>
      <x:c r="K927" s="10"/>
      <x:c r="M927" s="12"/>
      <x:c r="N927" s="18"/>
      <x:c r="O927" s="18"/>
    </x:row>
    <x:row r="928">
      <x:c r="H928" s="16"/>
      <x:c r="K928" s="10"/>
      <x:c r="M928" s="12"/>
      <x:c r="N928" s="18"/>
      <x:c r="O928" s="18"/>
    </x:row>
    <x:row r="929">
      <x:c r="H929" s="16"/>
      <x:c r="K929" s="10"/>
      <x:c r="M929" s="12"/>
      <x:c r="N929" s="18"/>
      <x:c r="O929" s="18"/>
    </x:row>
    <x:row r="930">
      <x:c r="H930" s="16"/>
      <x:c r="K930" s="10"/>
      <x:c r="M930" s="12"/>
      <x:c r="N930" s="18"/>
      <x:c r="O930" s="18"/>
    </x:row>
    <x:row r="931">
      <x:c r="H931" s="16"/>
      <x:c r="K931" s="10"/>
      <x:c r="M931" s="12"/>
      <x:c r="N931" s="18"/>
      <x:c r="O931" s="18"/>
    </x:row>
    <x:row r="932">
      <x:c r="H932" s="16"/>
      <x:c r="K932" s="10"/>
      <x:c r="M932" s="12"/>
      <x:c r="N932" s="18"/>
      <x:c r="O932" s="18"/>
    </x:row>
    <x:row r="933">
      <x:c r="H933" s="16"/>
      <x:c r="K933" s="10"/>
      <x:c r="M933" s="12"/>
      <x:c r="N933" s="18"/>
      <x:c r="O933" s="18"/>
    </x:row>
    <x:row r="934">
      <x:c r="H934" s="16"/>
      <x:c r="K934" s="10"/>
      <x:c r="M934" s="12"/>
      <x:c r="N934" s="18"/>
      <x:c r="O934" s="18"/>
    </x:row>
    <x:row r="935">
      <x:c r="H935" s="16"/>
      <x:c r="K935" s="10"/>
      <x:c r="M935" s="12"/>
      <x:c r="N935" s="18"/>
      <x:c r="O935" s="18"/>
    </x:row>
    <x:row r="936">
      <x:c r="H936" s="16"/>
      <x:c r="K936" s="10"/>
      <x:c r="M936" s="12"/>
      <x:c r="N936" s="18"/>
      <x:c r="O936" s="18"/>
    </x:row>
    <x:row r="937">
      <x:c r="H937" s="16"/>
      <x:c r="K937" s="10"/>
      <x:c r="M937" s="12"/>
      <x:c r="N937" s="18"/>
      <x:c r="O937" s="18"/>
    </x:row>
    <x:row r="938">
      <x:c r="H938" s="16"/>
      <x:c r="K938" s="10"/>
      <x:c r="M938" s="12"/>
      <x:c r="N938" s="18"/>
      <x:c r="O938" s="18"/>
    </x:row>
    <x:row r="939">
      <x:c r="H939" s="16"/>
      <x:c r="K939" s="10"/>
      <x:c r="M939" s="12"/>
      <x:c r="N939" s="18"/>
      <x:c r="O939" s="18"/>
    </x:row>
    <x:row r="940">
      <x:c r="H940" s="16"/>
      <x:c r="K940" s="10"/>
      <x:c r="M940" s="12"/>
      <x:c r="N940" s="18"/>
      <x:c r="O940" s="18"/>
    </x:row>
    <x:row r="941">
      <x:c r="H941" s="16"/>
      <x:c r="K941" s="10"/>
      <x:c r="M941" s="12"/>
      <x:c r="N941" s="18"/>
      <x:c r="O941" s="18"/>
    </x:row>
    <x:row r="942">
      <x:c r="H942" s="16"/>
      <x:c r="K942" s="10"/>
      <x:c r="M942" s="12"/>
      <x:c r="N942" s="18"/>
      <x:c r="O942" s="18"/>
    </x:row>
    <x:row r="943">
      <x:c r="H943" s="16"/>
      <x:c r="K943" s="10"/>
      <x:c r="M943" s="12"/>
      <x:c r="N943" s="18"/>
      <x:c r="O943" s="18"/>
    </x:row>
    <x:row r="944">
      <x:c r="H944" s="16"/>
      <x:c r="K944" s="10"/>
      <x:c r="M944" s="12"/>
      <x:c r="N944" s="18"/>
      <x:c r="O944" s="18"/>
    </x:row>
    <x:row r="945">
      <x:c r="H945" s="16"/>
      <x:c r="K945" s="10"/>
      <x:c r="M945" s="12"/>
      <x:c r="N945" s="18"/>
      <x:c r="O945" s="18"/>
    </x:row>
    <x:row r="946">
      <x:c r="H946" s="16"/>
      <x:c r="K946" s="10"/>
      <x:c r="M946" s="12"/>
      <x:c r="N946" s="18"/>
      <x:c r="O946" s="18"/>
    </x:row>
    <x:row r="947">
      <x:c r="H947" s="16"/>
      <x:c r="K947" s="10"/>
      <x:c r="M947" s="12"/>
      <x:c r="N947" s="18"/>
      <x:c r="O947" s="18"/>
    </x:row>
    <x:row r="948">
      <x:c r="H948" s="16"/>
      <x:c r="K948" s="10"/>
      <x:c r="M948" s="12"/>
      <x:c r="N948" s="18"/>
      <x:c r="O948" s="18"/>
    </x:row>
    <x:row r="949">
      <x:c r="H949" s="16"/>
      <x:c r="K949" s="10"/>
      <x:c r="M949" s="12"/>
      <x:c r="N949" s="18"/>
      <x:c r="O949" s="18"/>
    </x:row>
    <x:row r="950">
      <x:c r="H950" s="16"/>
      <x:c r="K950" s="10"/>
      <x:c r="M950" s="12"/>
      <x:c r="N950" s="18"/>
      <x:c r="O950" s="18"/>
    </x:row>
    <x:row r="951">
      <x:c r="H951" s="16"/>
      <x:c r="K951" s="10"/>
      <x:c r="M951" s="12"/>
      <x:c r="N951" s="18"/>
      <x:c r="O951" s="18"/>
    </x:row>
    <x:row r="952">
      <x:c r="H952" s="16"/>
      <x:c r="K952" s="10"/>
      <x:c r="M952" s="12"/>
      <x:c r="N952" s="18"/>
      <x:c r="O952" s="18"/>
    </x:row>
    <x:row r="953">
      <x:c r="H953" s="16"/>
      <x:c r="K953" s="10"/>
      <x:c r="M953" s="12"/>
      <x:c r="N953" s="18"/>
      <x:c r="O953" s="18"/>
    </x:row>
    <x:row r="954">
      <x:c r="H954" s="16"/>
      <x:c r="K954" s="10"/>
      <x:c r="M954" s="12"/>
      <x:c r="N954" s="18"/>
      <x:c r="O954" s="18"/>
    </x:row>
    <x:row r="955">
      <x:c r="H955" s="16"/>
      <x:c r="K955" s="10"/>
      <x:c r="M955" s="12"/>
      <x:c r="N955" s="18"/>
      <x:c r="O955" s="18"/>
    </x:row>
    <x:row r="956">
      <x:c r="H956" s="16"/>
      <x:c r="K956" s="10"/>
      <x:c r="M956" s="12"/>
      <x:c r="N956" s="18"/>
      <x:c r="O956" s="18"/>
    </x:row>
    <x:row r="957">
      <x:c r="H957" s="16"/>
      <x:c r="K957" s="10"/>
      <x:c r="M957" s="12"/>
      <x:c r="N957" s="18"/>
      <x:c r="O957" s="18"/>
    </x:row>
    <x:row r="958">
      <x:c r="H958" s="16"/>
      <x:c r="K958" s="10"/>
      <x:c r="M958" s="12"/>
      <x:c r="N958" s="18"/>
      <x:c r="O958" s="18"/>
    </x:row>
    <x:row r="959">
      <x:c r="H959" s="16"/>
      <x:c r="K959" s="10"/>
      <x:c r="M959" s="12"/>
      <x:c r="N959" s="18"/>
      <x:c r="O959" s="18"/>
    </x:row>
    <x:row r="960">
      <x:c r="H960" s="16"/>
      <x:c r="K960" s="10"/>
      <x:c r="M960" s="12"/>
      <x:c r="N960" s="18"/>
      <x:c r="O960" s="18"/>
    </x:row>
    <x:row r="961">
      <x:c r="H961" s="16"/>
      <x:c r="K961" s="10"/>
      <x:c r="M961" s="12"/>
      <x:c r="N961" s="18"/>
      <x:c r="O961" s="18"/>
    </x:row>
    <x:row r="962">
      <x:c r="H962" s="16"/>
      <x:c r="K962" s="10"/>
      <x:c r="M962" s="12"/>
      <x:c r="N962" s="18"/>
      <x:c r="O962" s="18"/>
    </x:row>
    <x:row r="963">
      <x:c r="H963" s="16"/>
      <x:c r="K963" s="10"/>
      <x:c r="M963" s="12"/>
      <x:c r="N963" s="18"/>
      <x:c r="O963" s="18"/>
    </x:row>
    <x:row r="964">
      <x:c r="H964" s="16"/>
      <x:c r="K964" s="10"/>
      <x:c r="M964" s="12"/>
      <x:c r="N964" s="18"/>
      <x:c r="O964" s="18"/>
    </x:row>
    <x:row r="965">
      <x:c r="H965" s="16"/>
      <x:c r="K965" s="10"/>
      <x:c r="M965" s="12"/>
      <x:c r="N965" s="18"/>
      <x:c r="O965" s="18"/>
    </x:row>
    <x:row r="966">
      <x:c r="H966" s="16"/>
      <x:c r="K966" s="10"/>
      <x:c r="M966" s="12"/>
      <x:c r="N966" s="18"/>
      <x:c r="O966" s="18"/>
    </x:row>
    <x:row r="967">
      <x:c r="H967" s="16"/>
      <x:c r="K967" s="10"/>
      <x:c r="M967" s="12"/>
      <x:c r="N967" s="18"/>
      <x:c r="O967" s="18"/>
    </x:row>
    <x:row r="968">
      <x:c r="H968" s="16"/>
      <x:c r="K968" s="10"/>
      <x:c r="M968" s="12"/>
      <x:c r="N968" s="18"/>
      <x:c r="O968" s="18"/>
    </x:row>
    <x:row r="969">
      <x:c r="H969" s="16"/>
      <x:c r="K969" s="10"/>
      <x:c r="M969" s="12"/>
      <x:c r="N969" s="18"/>
      <x:c r="O969" s="18"/>
    </x:row>
    <x:row r="970">
      <x:c r="H970" s="16"/>
      <x:c r="K970" s="10"/>
      <x:c r="M970" s="12"/>
      <x:c r="N970" s="18"/>
      <x:c r="O970" s="18"/>
    </x:row>
    <x:row r="971">
      <x:c r="H971" s="16"/>
      <x:c r="K971" s="10"/>
      <x:c r="M971" s="12"/>
      <x:c r="N971" s="18"/>
      <x:c r="O971" s="18"/>
    </x:row>
    <x:row r="972">
      <x:c r="H972" s="16"/>
      <x:c r="K972" s="10"/>
      <x:c r="M972" s="12"/>
      <x:c r="N972" s="18"/>
      <x:c r="O972" s="18"/>
    </x:row>
    <x:row r="973">
      <x:c r="H973" s="16"/>
      <x:c r="K973" s="10"/>
      <x:c r="M973" s="12"/>
      <x:c r="N973" s="18"/>
      <x:c r="O973" s="18"/>
    </x:row>
    <x:row r="974">
      <x:c r="H974" s="16"/>
      <x:c r="K974" s="10"/>
      <x:c r="M974" s="12"/>
      <x:c r="N974" s="18"/>
      <x:c r="O974" s="18"/>
    </x:row>
    <x:row r="975">
      <x:c r="H975" s="16"/>
      <x:c r="K975" s="10"/>
      <x:c r="M975" s="12"/>
      <x:c r="N975" s="18"/>
      <x:c r="O975" s="18"/>
    </x:row>
    <x:row r="976">
      <x:c r="H976" s="16"/>
      <x:c r="K976" s="10"/>
      <x:c r="M976" s="12"/>
      <x:c r="N976" s="18"/>
      <x:c r="O976" s="18"/>
    </x:row>
    <x:row r="977">
      <x:c r="H977" s="16"/>
      <x:c r="K977" s="10"/>
      <x:c r="M977" s="12"/>
      <x:c r="N977" s="18"/>
      <x:c r="O977" s="18"/>
    </x:row>
    <x:row r="978">
      <x:c r="H978" s="16"/>
      <x:c r="K978" s="10"/>
      <x:c r="M978" s="12"/>
      <x:c r="N978" s="18"/>
      <x:c r="O978" s="18"/>
    </x:row>
    <x:row r="979">
      <x:c r="H979" s="16"/>
      <x:c r="K979" s="10"/>
      <x:c r="M979" s="12"/>
      <x:c r="N979" s="18"/>
      <x:c r="O979" s="18"/>
    </x:row>
    <x:row r="980">
      <x:c r="H980" s="16"/>
      <x:c r="K980" s="10"/>
      <x:c r="M980" s="12"/>
      <x:c r="N980" s="18"/>
      <x:c r="O980" s="18"/>
    </x:row>
    <x:row r="981">
      <x:c r="H981" s="16"/>
      <x:c r="K981" s="10"/>
      <x:c r="M981" s="12"/>
      <x:c r="N981" s="18"/>
      <x:c r="O981" s="18"/>
    </x:row>
    <x:row r="982">
      <x:c r="H982" s="16"/>
      <x:c r="K982" s="10"/>
      <x:c r="M982" s="12"/>
      <x:c r="N982" s="18"/>
      <x:c r="O982" s="18"/>
    </x:row>
    <x:row r="983">
      <x:c r="H983" s="16"/>
      <x:c r="K983" s="10"/>
      <x:c r="M983" s="12"/>
      <x:c r="N983" s="18"/>
      <x:c r="O983" s="18"/>
    </x:row>
    <x:row r="984">
      <x:c r="H984" s="16"/>
      <x:c r="K984" s="10"/>
      <x:c r="M984" s="12"/>
      <x:c r="N984" s="18"/>
      <x:c r="O984" s="18"/>
    </x:row>
    <x:row r="985">
      <x:c r="H985" s="16"/>
      <x:c r="K985" s="10"/>
      <x:c r="M985" s="12"/>
      <x:c r="N985" s="18"/>
      <x:c r="O985" s="18"/>
    </x:row>
    <x:row r="986">
      <x:c r="H986" s="16"/>
      <x:c r="K986" s="10"/>
      <x:c r="M986" s="12"/>
      <x:c r="N986" s="18"/>
      <x:c r="O986" s="18"/>
    </x:row>
    <x:row r="987">
      <x:c r="H987" s="16"/>
      <x:c r="K987" s="10"/>
      <x:c r="M987" s="12"/>
      <x:c r="N987" s="18"/>
      <x:c r="O987" s="18"/>
    </x:row>
    <x:row r="988">
      <x:c r="H988" s="16"/>
      <x:c r="K988" s="10"/>
      <x:c r="M988" s="12"/>
      <x:c r="N988" s="18"/>
      <x:c r="O988" s="18"/>
    </x:row>
    <x:row r="989">
      <x:c r="H989" s="16"/>
      <x:c r="K989" s="10"/>
      <x:c r="M989" s="12"/>
      <x:c r="N989" s="18"/>
      <x:c r="O989" s="18"/>
    </x:row>
    <x:row r="990">
      <x:c r="H990" s="16"/>
      <x:c r="K990" s="10"/>
      <x:c r="M990" s="12"/>
      <x:c r="N990" s="18"/>
      <x:c r="O990" s="18"/>
    </x:row>
    <x:row r="991">
      <x:c r="H991" s="16"/>
      <x:c r="K991" s="10"/>
      <x:c r="M991" s="12"/>
      <x:c r="N991" s="18"/>
      <x:c r="O991" s="18"/>
    </x:row>
    <x:row r="992">
      <x:c r="H992" s="16"/>
      <x:c r="K992" s="10"/>
      <x:c r="M992" s="12"/>
      <x:c r="N992" s="18"/>
      <x:c r="O992" s="18"/>
    </x:row>
    <x:row r="993">
      <x:c r="H993" s="16"/>
      <x:c r="K993" s="10"/>
      <x:c r="M993" s="12"/>
      <x:c r="N993" s="18"/>
      <x:c r="O993" s="18"/>
    </x:row>
    <x:row r="994">
      <x:c r="H994" s="16"/>
      <x:c r="K994" s="10"/>
      <x:c r="M994" s="12"/>
      <x:c r="N994" s="18"/>
      <x:c r="O994" s="18"/>
    </x:row>
    <x:row r="995">
      <x:c r="H995" s="16"/>
      <x:c r="K995" s="10"/>
      <x:c r="M995" s="12"/>
      <x:c r="N995" s="18"/>
      <x:c r="O995" s="18"/>
    </x:row>
    <x:row r="996">
      <x:c r="H996" s="16"/>
      <x:c r="K996" s="10"/>
      <x:c r="M996" s="12"/>
      <x:c r="N996" s="18"/>
      <x:c r="O996" s="18"/>
    </x:row>
    <x:row r="997">
      <x:c r="H997" s="16"/>
      <x:c r="K997" s="10"/>
      <x:c r="M997" s="12"/>
      <x:c r="N997" s="18"/>
      <x:c r="O997" s="18"/>
    </x:row>
    <x:row r="998">
      <x:c r="H998" s="16"/>
      <x:c r="K998" s="10"/>
      <x:c r="M998" s="12"/>
      <x:c r="N998" s="18"/>
      <x:c r="O998" s="18"/>
    </x:row>
    <x:row r="999">
      <x:c r="H999" s="16"/>
      <x:c r="K999" s="10"/>
      <x:c r="M999" s="12"/>
      <x:c r="N999" s="18"/>
      <x:c r="O999" s="18"/>
    </x:row>
    <x:row r="1000">
      <x:c r="H1000" s="16"/>
      <x:c r="K1000" s="10"/>
      <x:c r="M1000" s="12"/>
      <x:c r="N1000" s="18"/>
      <x:c r="O1000" s="18"/>
    </x:row>
  </x:sheetData>
  <x:conditionalFormatting sqref="K5:K1000">
    <x:cfRule type="dataBar" priority="1">
      <x:dataBar>
        <x:cfvo type="min"/>
        <x:cfvo type="max"/>
        <x:color rgb="FF40AEB2"/>
      </x:dataBar>
      <x:extLst>
        <x:ext xmlns:x14="http://schemas.microsoft.com/office/spreadsheetml/2009/9/main" uri="{B025F937-C7B1-47D3-B67F-A62EFF666E3E}">
          <x14:id>d343b415-dddb-4f92-8fb0-6da410b1427f</x14:id>
        </x:ext>
      </x:extLst>
    </x:cfRule>
  </x:conditionalFormatting>
  <x:conditionalFormatting sqref="J5:J1000">
    <x:cfRule type="containsText" dxfId="0" priority="2" operator="containsText" text="Blocked"/>
    <x:cfRule type="containsText" dxfId="1" priority="3" operator="containsText" text="Done"/>
    <x:cfRule type="containsText" dxfId="2" priority="4" operator="containsText" text="In Progress"/>
    <x:cfRule type="containsText" dxfId="3" priority="5" operator="containsText" text="In Review"/>
  </x:conditionalFormatting>
  <x:dataValidations count="4">
    <x:dataValidation type="list" sqref="J5:J1000">
      <x:formula1>"Not Started,In Progress,In Review,Blocked,Done"</x:formula1>
    </x:dataValidation>
    <x:dataValidation type="list" sqref="L5:L1000">
      <x:formula1>"Critical,High,Medium,Low"</x:formula1>
    </x:dataValidation>
    <x:dataValidation type="list" sqref="H5:H1000">
      <x:formula1>'TEAM WORKLOAD'!$A$5:$A$54</x:formula1>
    </x:dataValidation>
    <x:dataValidation type="decimal" operator="between" sqref="K5:K10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1a4a2d60dbc47a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d343b415-dddb-4f92-8fb0-6da410b1427f">
            <x14:dataBar gradient="0">
              <x14:cfvo type="min"/>
              <x14:cfvo type="max"/>
              <x14:fillColor rgb="FF40AEB2"/>
            </x14:dataBar>
          </x14:cfRule>
          <xm:sqref>K5:K1000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0" hidden="0" customWidth="1"/>
    <x:col min="5" max="5" width="18" hidden="0" customWidth="1"/>
    <x:col min="6" max="6" width="20" hidden="0" customWidth="1"/>
    <x:col min="7" max="7" width="26" hidden="0" customWidth="1"/>
    <x:col min="8" max="8" width="22" hidden="0" customWidth="1"/>
    <x:col min="9" max="9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PHÂN BỔ CÔNG VIỆC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2" customHeight="1">
      <x:c r="A4" s="8" t="str">
        <x:v>Member Name</x:v>
      </x:c>
      <x:c r="B4" s="8" t="str">
        <x:v>Role</x:v>
      </x:c>
      <x:c r="C4" s="8" t="str">
        <x:v>Assigned Modules (count)</x:v>
      </x:c>
      <x:c r="D4" s="8" t="str">
        <x:v>Total Assigned Tasks</x:v>
      </x:c>
      <x:c r="E4" s="8" t="str">
        <x:v>Completed Tasks</x:v>
      </x:c>
      <x:c r="F4" s="8" t="str">
        <x:v>In Progress Tasks</x:v>
      </x:c>
      <x:c r="G4" s="8" t="str">
        <x:v>Total Estimated Effort (days)</x:v>
      </x:c>
      <x:c r="H4" s="8" t="str">
        <x:v>Overall Completion (%)</x:v>
      </x:c>
      <x:c r="I4" s="8" t="str">
        <x:v>Notes</x:v>
      </x:c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 t="str">
        <x:v>Chưa phân công</x:v>
      </x:c>
      <x:c r="B5" s="1"/>
      <x:c r="C5" s="1" t="n">
        <x:f>IF(A5="","",COUNTIFS('MODULE OVERVIEW'!$E$5:$E$100,A5))</x:f>
        <x:v>12</x:v>
      </x:c>
      <x:c r="D5" s="1" t="n">
        <x:f>IF(A5="","",COUNTIFS('DETAILED TASK BREAKDOWN'!$H$5:$H$1000,A5,'DETAILED TASK BREAKDOWN'!$A$5:$A$1000,"&lt;&gt;"))</x:f>
        <x:v>50</x:v>
      </x:c>
      <x:c r="E5" s="1" t="n">
        <x:f>IF(A5="","",COUNTIFS('DETAILED TASK BREAKDOWN'!$H$5:$H$1000,A5,'DETAILED TASK BREAKDOWN'!$J$5:$J$1000,"Done"))</x:f>
        <x:v>0</x:v>
      </x:c>
      <x:c r="F5" s="1" t="n">
        <x:f>IF(A5="","",COUNTIFS('DETAILED TASK BREAKDOWN'!$H$5:$H$1000,A5,'DETAILED TASK BREAKDOWN'!$J$5:$J$1000,"In Progress"))</x:f>
        <x:v>0</x:v>
      </x:c>
      <x:c r="G5" s="1" t="n">
        <x:f>IF(A5="","",SUMIFS('DETAILED TASK BREAKDOWN'!$M$5:$M$1000,'DETAILED TASK BREAKDOWN'!$H$5:$H$1000,A5))</x:f>
        <x:v>92.5</x:v>
      </x:c>
      <x:c r="H5" s="9" t="n">
        <x:f>IF(OR(A5="",G5=0),"",SUMPRODUCT(('DETAILED TASK BREAKDOWN'!$H$5:$H$1000=A5)*'DETAILED TASK BREAKDOWN'!$K$5:$K$1000*'DETAILED TASK BREAKDOWN'!$M$5:$M$1000)/G5)</x:f>
        <x:v>0</x:v>
      </x:c>
      <x:c r="I5" s="1" t="str">
        <x:v>Giá trị mặc định cho task; không phải thành viên.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15"/>
      <x:c r="B6" s="15"/>
      <x:c r="C6" s="1" t="str">
        <x:f>IF(A6="","",COUNTIFS('MODULE OVERVIEW'!$E$5:$E$100,A6))</x:f>
      </x:c>
      <x:c r="D6" s="1" t="str">
        <x:f>IF(A6="","",COUNTIFS('DETAILED TASK BREAKDOWN'!$H$5:$H$1000,A6,'DETAILED TASK BREAKDOWN'!$A$5:$A$1000,"&lt;&gt;"))</x:f>
      </x:c>
      <x:c r="E6" s="1" t="str">
        <x:f>IF(A6="","",COUNTIFS('DETAILED TASK BREAKDOWN'!$H$5:$H$1000,A6,'DETAILED TASK BREAKDOWN'!$J$5:$J$1000,"Done"))</x:f>
      </x:c>
      <x:c r="F6" s="1" t="str">
        <x:f>IF(A6="","",COUNTIFS('DETAILED TASK BREAKDOWN'!$H$5:$H$1000,A6,'DETAILED TASK BREAKDOWN'!$J$5:$J$1000,"In Progress"))</x:f>
      </x:c>
      <x:c r="G6" s="1" t="str">
        <x:f>IF(A6="","",SUMIFS('DETAILED TASK BREAKDOWN'!$M$5:$M$1000,'DETAILED TASK BREAKDOWN'!$H$5:$H$1000,A6))</x:f>
      </x:c>
      <x:c r="H6" s="9" t="str">
        <x:f>IF(OR(A6="",G6=0),"",SUMPRODUCT(('DETAILED TASK BREAKDOWN'!$H$5:$H$1000=A6)*'DETAILED TASK BREAKDOWN'!$K$5:$K$1000*'DETAILED TASK BREAKDOWN'!$M$5:$M$1000)/G6)</x:f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15"/>
      <x:c r="B7" s="15"/>
      <x:c r="C7" s="1" t="str">
        <x:f>IF(A7="","",COUNTIFS('MODULE OVERVIEW'!$E$5:$E$100,A7))</x:f>
      </x:c>
      <x:c r="D7" s="1" t="str">
        <x:f>IF(A7="","",COUNTIFS('DETAILED TASK BREAKDOWN'!$H$5:$H$1000,A7,'DETAILED TASK BREAKDOWN'!$A$5:$A$1000,"&lt;&gt;"))</x:f>
      </x:c>
      <x:c r="E7" s="1" t="str">
        <x:f>IF(A7="","",COUNTIFS('DETAILED TASK BREAKDOWN'!$H$5:$H$1000,A7,'DETAILED TASK BREAKDOWN'!$J$5:$J$1000,"Done"))</x:f>
      </x:c>
      <x:c r="F7" s="1" t="str">
        <x:f>IF(A7="","",COUNTIFS('DETAILED TASK BREAKDOWN'!$H$5:$H$1000,A7,'DETAILED TASK BREAKDOWN'!$J$5:$J$1000,"In Progress"))</x:f>
      </x:c>
      <x:c r="G7" s="1" t="str">
        <x:f>IF(A7="","",SUMIFS('DETAILED TASK BREAKDOWN'!$M$5:$M$1000,'DETAILED TASK BREAKDOWN'!$H$5:$H$1000,A7))</x:f>
      </x:c>
      <x:c r="H7" s="9" t="str">
        <x:f>IF(OR(A7="",G7=0),"",SUMPRODUCT(('DETAILED TASK BREAKDOWN'!$H$5:$H$1000=A7)*'DETAILED TASK BREAKDOWN'!$K$5:$K$1000*'DETAILED TASK BREAKDOWN'!$M$5:$M$1000)/G7)</x:f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15"/>
      <x:c r="B8" s="15"/>
      <x:c r="C8" s="1" t="str">
        <x:f>IF(A8="","",COUNTIFS('MODULE OVERVIEW'!$E$5:$E$100,A8))</x:f>
      </x:c>
      <x:c r="D8" s="1" t="str">
        <x:f>IF(A8="","",COUNTIFS('DETAILED TASK BREAKDOWN'!$H$5:$H$1000,A8,'DETAILED TASK BREAKDOWN'!$A$5:$A$1000,"&lt;&gt;"))</x:f>
      </x:c>
      <x:c r="E8" s="1" t="str">
        <x:f>IF(A8="","",COUNTIFS('DETAILED TASK BREAKDOWN'!$H$5:$H$1000,A8,'DETAILED TASK BREAKDOWN'!$J$5:$J$1000,"Done"))</x:f>
      </x:c>
      <x:c r="F8" s="1" t="str">
        <x:f>IF(A8="","",COUNTIFS('DETAILED TASK BREAKDOWN'!$H$5:$H$1000,A8,'DETAILED TASK BREAKDOWN'!$J$5:$J$1000,"In Progress"))</x:f>
      </x:c>
      <x:c r="G8" s="1" t="str">
        <x:f>IF(A8="","",SUMIFS('DETAILED TASK BREAKDOWN'!$M$5:$M$1000,'DETAILED TASK BREAKDOWN'!$H$5:$H$1000,A8))</x:f>
      </x:c>
      <x:c r="H8" s="9" t="str">
        <x:f>IF(OR(A8="",G8=0),"",SUMPRODUCT(('DETAILED TASK BREAKDOWN'!$H$5:$H$1000=A8)*'DETAILED TASK BREAKDOWN'!$K$5:$K$1000*'DETAILED TASK BREAKDOWN'!$M$5:$M$1000)/G8)</x:f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15"/>
      <x:c r="B9" s="15"/>
      <x:c r="C9" s="1" t="str">
        <x:f>IF(A9="","",COUNTIFS('MODULE OVERVIEW'!$E$5:$E$100,A9))</x:f>
      </x:c>
      <x:c r="D9" s="1" t="str">
        <x:f>IF(A9="","",COUNTIFS('DETAILED TASK BREAKDOWN'!$H$5:$H$1000,A9,'DETAILED TASK BREAKDOWN'!$A$5:$A$1000,"&lt;&gt;"))</x:f>
      </x:c>
      <x:c r="E9" s="1" t="str">
        <x:f>IF(A9="","",COUNTIFS('DETAILED TASK BREAKDOWN'!$H$5:$H$1000,A9,'DETAILED TASK BREAKDOWN'!$J$5:$J$1000,"Done"))</x:f>
      </x:c>
      <x:c r="F9" s="1" t="str">
        <x:f>IF(A9="","",COUNTIFS('DETAILED TASK BREAKDOWN'!$H$5:$H$1000,A9,'DETAILED TASK BREAKDOWN'!$J$5:$J$1000,"In Progress"))</x:f>
      </x:c>
      <x:c r="G9" s="1" t="str">
        <x:f>IF(A9="","",SUMIFS('DETAILED TASK BREAKDOWN'!$M$5:$M$1000,'DETAILED TASK BREAKDOWN'!$H$5:$H$1000,A9))</x:f>
      </x:c>
      <x:c r="H9" s="9" t="str">
        <x:f>IF(OR(A9="",G9=0),"",SUMPRODUCT(('DETAILED TASK BREAKDOWN'!$H$5:$H$1000=A9)*'DETAILED TASK BREAKDOWN'!$K$5:$K$1000*'DETAILED TASK BREAKDOWN'!$M$5:$M$1000)/G9)</x:f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15"/>
      <x:c r="B10" s="15"/>
      <x:c r="C10" s="1" t="str">
        <x:f>IF(A10="","",COUNTIFS('MODULE OVERVIEW'!$E$5:$E$100,A10))</x:f>
      </x:c>
      <x:c r="D10" s="1" t="str">
        <x:f>IF(A10="","",COUNTIFS('DETAILED TASK BREAKDOWN'!$H$5:$H$1000,A10,'DETAILED TASK BREAKDOWN'!$A$5:$A$1000,"&lt;&gt;"))</x:f>
      </x:c>
      <x:c r="E10" s="1" t="str">
        <x:f>IF(A10="","",COUNTIFS('DETAILED TASK BREAKDOWN'!$H$5:$H$1000,A10,'DETAILED TASK BREAKDOWN'!$J$5:$J$1000,"Done"))</x:f>
      </x:c>
      <x:c r="F10" s="1" t="str">
        <x:f>IF(A10="","",COUNTIFS('DETAILED TASK BREAKDOWN'!$H$5:$H$1000,A10,'DETAILED TASK BREAKDOWN'!$J$5:$J$1000,"In Progress"))</x:f>
      </x:c>
      <x:c r="G10" s="1" t="str">
        <x:f>IF(A10="","",SUMIFS('DETAILED TASK BREAKDOWN'!$M$5:$M$1000,'DETAILED TASK BREAKDOWN'!$H$5:$H$1000,A10))</x:f>
      </x:c>
      <x:c r="H10" s="9" t="str">
        <x:f>IF(OR(A10="",G10=0),"",SUMPRODUCT(('DETAILED TASK BREAKDOWN'!$H$5:$H$1000=A10)*'DETAILED TASK BREAKDOWN'!$K$5:$K$1000*'DETAILED TASK BREAKDOWN'!$M$5:$M$1000)/G10)</x:f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15"/>
      <x:c r="B11" s="15"/>
      <x:c r="C11" s="1" t="str">
        <x:f>IF(A11="","",COUNTIFS('MODULE OVERVIEW'!$E$5:$E$100,A11))</x:f>
      </x:c>
      <x:c r="D11" s="1" t="str">
        <x:f>IF(A11="","",COUNTIFS('DETAILED TASK BREAKDOWN'!$H$5:$H$1000,A11,'DETAILED TASK BREAKDOWN'!$A$5:$A$1000,"&lt;&gt;"))</x:f>
      </x:c>
      <x:c r="E11" s="1" t="str">
        <x:f>IF(A11="","",COUNTIFS('DETAILED TASK BREAKDOWN'!$H$5:$H$1000,A11,'DETAILED TASK BREAKDOWN'!$J$5:$J$1000,"Done"))</x:f>
      </x:c>
      <x:c r="F11" s="1" t="str">
        <x:f>IF(A11="","",COUNTIFS('DETAILED TASK BREAKDOWN'!$H$5:$H$1000,A11,'DETAILED TASK BREAKDOWN'!$J$5:$J$1000,"In Progress"))</x:f>
      </x:c>
      <x:c r="G11" s="1" t="str">
        <x:f>IF(A11="","",SUMIFS('DETAILED TASK BREAKDOWN'!$M$5:$M$1000,'DETAILED TASK BREAKDOWN'!$H$5:$H$1000,A11))</x:f>
      </x:c>
      <x:c r="H11" s="9" t="str">
        <x:f>IF(OR(A11="",G11=0),"",SUMPRODUCT(('DETAILED TASK BREAKDOWN'!$H$5:$H$1000=A11)*'DETAILED TASK BREAKDOWN'!$K$5:$K$1000*'DETAILED TASK BREAKDOWN'!$M$5:$M$1000)/G11)</x:f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15"/>
      <x:c r="B12" s="15"/>
      <x:c r="C12" s="1" t="str">
        <x:f>IF(A12="","",COUNTIFS('MODULE OVERVIEW'!$E$5:$E$100,A12))</x:f>
      </x:c>
      <x:c r="D12" s="1" t="str">
        <x:f>IF(A12="","",COUNTIFS('DETAILED TASK BREAKDOWN'!$H$5:$H$1000,A12,'DETAILED TASK BREAKDOWN'!$A$5:$A$1000,"&lt;&gt;"))</x:f>
      </x:c>
      <x:c r="E12" s="1" t="str">
        <x:f>IF(A12="","",COUNTIFS('DETAILED TASK BREAKDOWN'!$H$5:$H$1000,A12,'DETAILED TASK BREAKDOWN'!$J$5:$J$1000,"Done"))</x:f>
      </x:c>
      <x:c r="F12" s="1" t="str">
        <x:f>IF(A12="","",COUNTIFS('DETAILED TASK BREAKDOWN'!$H$5:$H$1000,A12,'DETAILED TASK BREAKDOWN'!$J$5:$J$1000,"In Progress"))</x:f>
      </x:c>
      <x:c r="G12" s="1" t="str">
        <x:f>IF(A12="","",SUMIFS('DETAILED TASK BREAKDOWN'!$M$5:$M$1000,'DETAILED TASK BREAKDOWN'!$H$5:$H$1000,A12))</x:f>
      </x:c>
      <x:c r="H12" s="9" t="str">
        <x:f>IF(OR(A12="",G12=0),"",SUMPRODUCT(('DETAILED TASK BREAKDOWN'!$H$5:$H$1000=A12)*'DETAILED TASK BREAKDOWN'!$K$5:$K$1000*'DETAILED TASK BREAKDOWN'!$M$5:$M$1000)/G12)</x:f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15"/>
      <x:c r="B13" s="15"/>
      <x:c r="C13" s="1" t="str">
        <x:f>IF(A13="","",COUNTIFS('MODULE OVERVIEW'!$E$5:$E$100,A13))</x:f>
      </x:c>
      <x:c r="D13" s="1" t="str">
        <x:f>IF(A13="","",COUNTIFS('DETAILED TASK BREAKDOWN'!$H$5:$H$1000,A13,'DETAILED TASK BREAKDOWN'!$A$5:$A$1000,"&lt;&gt;"))</x:f>
      </x:c>
      <x:c r="E13" s="1" t="str">
        <x:f>IF(A13="","",COUNTIFS('DETAILED TASK BREAKDOWN'!$H$5:$H$1000,A13,'DETAILED TASK BREAKDOWN'!$J$5:$J$1000,"Done"))</x:f>
      </x:c>
      <x:c r="F13" s="1" t="str">
        <x:f>IF(A13="","",COUNTIFS('DETAILED TASK BREAKDOWN'!$H$5:$H$1000,A13,'DETAILED TASK BREAKDOWN'!$J$5:$J$1000,"In Progress"))</x:f>
      </x:c>
      <x:c r="G13" s="1" t="str">
        <x:f>IF(A13="","",SUMIFS('DETAILED TASK BREAKDOWN'!$M$5:$M$1000,'DETAILED TASK BREAKDOWN'!$H$5:$H$1000,A13))</x:f>
      </x:c>
      <x:c r="H13" s="9" t="str">
        <x:f>IF(OR(A13="",G13=0),"",SUMPRODUCT(('DETAILED TASK BREAKDOWN'!$H$5:$H$1000=A13)*'DETAILED TASK BREAKDOWN'!$K$5:$K$1000*'DETAILED TASK BREAKDOWN'!$M$5:$M$1000)/G13)</x:f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15"/>
      <x:c r="B14" s="15"/>
      <x:c r="C14" s="1" t="str">
        <x:f>IF(A14="","",COUNTIFS('MODULE OVERVIEW'!$E$5:$E$100,A14))</x:f>
      </x:c>
      <x:c r="D14" s="1" t="str">
        <x:f>IF(A14="","",COUNTIFS('DETAILED TASK BREAKDOWN'!$H$5:$H$1000,A14,'DETAILED TASK BREAKDOWN'!$A$5:$A$1000,"&lt;&gt;"))</x:f>
      </x:c>
      <x:c r="E14" s="1" t="str">
        <x:f>IF(A14="","",COUNTIFS('DETAILED TASK BREAKDOWN'!$H$5:$H$1000,A14,'DETAILED TASK BREAKDOWN'!$J$5:$J$1000,"Done"))</x:f>
      </x:c>
      <x:c r="F14" s="1" t="str">
        <x:f>IF(A14="","",COUNTIFS('DETAILED TASK BREAKDOWN'!$H$5:$H$1000,A14,'DETAILED TASK BREAKDOWN'!$J$5:$J$1000,"In Progress"))</x:f>
      </x:c>
      <x:c r="G14" s="1" t="str">
        <x:f>IF(A14="","",SUMIFS('DETAILED TASK BREAKDOWN'!$M$5:$M$1000,'DETAILED TASK BREAKDOWN'!$H$5:$H$1000,A14))</x:f>
      </x:c>
      <x:c r="H14" s="9" t="str">
        <x:f>IF(OR(A14="",G14=0),"",SUMPRODUCT(('DETAILED TASK BREAKDOWN'!$H$5:$H$1000=A14)*'DETAILED TASK BREAKDOWN'!$K$5:$K$1000*'DETAILED TASK BREAKDOWN'!$M$5:$M$1000)/G14)</x:f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5"/>
      <x:c r="B15" s="15"/>
      <x:c r="C15" s="1" t="str">
        <x:f>IF(A15="","",COUNTIFS('MODULE OVERVIEW'!$E$5:$E$100,A15))</x:f>
      </x:c>
      <x:c r="D15" s="1" t="str">
        <x:f>IF(A15="","",COUNTIFS('DETAILED TASK BREAKDOWN'!$H$5:$H$1000,A15,'DETAILED TASK BREAKDOWN'!$A$5:$A$1000,"&lt;&gt;"))</x:f>
      </x:c>
      <x:c r="E15" s="1" t="str">
        <x:f>IF(A15="","",COUNTIFS('DETAILED TASK BREAKDOWN'!$H$5:$H$1000,A15,'DETAILED TASK BREAKDOWN'!$J$5:$J$1000,"Done"))</x:f>
      </x:c>
      <x:c r="F15" s="1" t="str">
        <x:f>IF(A15="","",COUNTIFS('DETAILED TASK BREAKDOWN'!$H$5:$H$1000,A15,'DETAILED TASK BREAKDOWN'!$J$5:$J$1000,"In Progress"))</x:f>
      </x:c>
      <x:c r="G15" s="1" t="str">
        <x:f>IF(A15="","",SUMIFS('DETAILED TASK BREAKDOWN'!$M$5:$M$1000,'DETAILED TASK BREAKDOWN'!$H$5:$H$1000,A15))</x:f>
      </x:c>
      <x:c r="H15" s="9" t="str">
        <x:f>IF(OR(A15="",G15=0),"",SUMPRODUCT(('DETAILED TASK BREAKDOWN'!$H$5:$H$1000=A15)*'DETAILED TASK BREAKDOWN'!$K$5:$K$1000*'DETAILED TASK BREAKDOWN'!$M$5:$M$1000)/G15)</x:f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15"/>
      <x:c r="B16" s="15"/>
      <x:c r="C16" s="1" t="str">
        <x:f>IF(A16="","",COUNTIFS('MODULE OVERVIEW'!$E$5:$E$100,A16))</x:f>
      </x:c>
      <x:c r="D16" s="1" t="str">
        <x:f>IF(A16="","",COUNTIFS('DETAILED TASK BREAKDOWN'!$H$5:$H$1000,A16,'DETAILED TASK BREAKDOWN'!$A$5:$A$1000,"&lt;&gt;"))</x:f>
      </x:c>
      <x:c r="E16" s="1" t="str">
        <x:f>IF(A16="","",COUNTIFS('DETAILED TASK BREAKDOWN'!$H$5:$H$1000,A16,'DETAILED TASK BREAKDOWN'!$J$5:$J$1000,"Done"))</x:f>
      </x:c>
      <x:c r="F16" s="1" t="str">
        <x:f>IF(A16="","",COUNTIFS('DETAILED TASK BREAKDOWN'!$H$5:$H$1000,A16,'DETAILED TASK BREAKDOWN'!$J$5:$J$1000,"In Progress"))</x:f>
      </x:c>
      <x:c r="G16" s="1" t="str">
        <x:f>IF(A16="","",SUMIFS('DETAILED TASK BREAKDOWN'!$M$5:$M$1000,'DETAILED TASK BREAKDOWN'!$H$5:$H$1000,A16))</x:f>
      </x:c>
      <x:c r="H16" s="9" t="str">
        <x:f>IF(OR(A16="",G16=0),"",SUMPRODUCT(('DETAILED TASK BREAKDOWN'!$H$5:$H$1000=A16)*'DETAILED TASK BREAKDOWN'!$K$5:$K$1000*'DETAILED TASK BREAKDOWN'!$M$5:$M$1000)/G16)</x:f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5"/>
      <x:c r="B17" s="15"/>
      <x:c r="C17" s="1" t="str">
        <x:f>IF(A17="","",COUNTIFS('MODULE OVERVIEW'!$E$5:$E$100,A17))</x:f>
      </x:c>
      <x:c r="D17" s="1" t="str">
        <x:f>IF(A17="","",COUNTIFS('DETAILED TASK BREAKDOWN'!$H$5:$H$1000,A17,'DETAILED TASK BREAKDOWN'!$A$5:$A$1000,"&lt;&gt;"))</x:f>
      </x:c>
      <x:c r="E17" s="1" t="str">
        <x:f>IF(A17="","",COUNTIFS('DETAILED TASK BREAKDOWN'!$H$5:$H$1000,A17,'DETAILED TASK BREAKDOWN'!$J$5:$J$1000,"Done"))</x:f>
      </x:c>
      <x:c r="F17" s="1" t="str">
        <x:f>IF(A17="","",COUNTIFS('DETAILED TASK BREAKDOWN'!$H$5:$H$1000,A17,'DETAILED TASK BREAKDOWN'!$J$5:$J$1000,"In Progress"))</x:f>
      </x:c>
      <x:c r="G17" s="1" t="str">
        <x:f>IF(A17="","",SUMIFS('DETAILED TASK BREAKDOWN'!$M$5:$M$1000,'DETAILED TASK BREAKDOWN'!$H$5:$H$1000,A17))</x:f>
      </x:c>
      <x:c r="H17" s="9" t="str">
        <x:f>IF(OR(A17="",G17=0),"",SUMPRODUCT(('DETAILED TASK BREAKDOWN'!$H$5:$H$1000=A17)*'DETAILED TASK BREAKDOWN'!$K$5:$K$1000*'DETAILED TASK BREAKDOWN'!$M$5:$M$1000)/G17)</x:f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5"/>
      <x:c r="B18" s="15"/>
      <x:c r="C18" s="1" t="str">
        <x:f>IF(A18="","",COUNTIFS('MODULE OVERVIEW'!$E$5:$E$100,A18))</x:f>
      </x:c>
      <x:c r="D18" s="1" t="str">
        <x:f>IF(A18="","",COUNTIFS('DETAILED TASK BREAKDOWN'!$H$5:$H$1000,A18,'DETAILED TASK BREAKDOWN'!$A$5:$A$1000,"&lt;&gt;"))</x:f>
      </x:c>
      <x:c r="E18" s="1" t="str">
        <x:f>IF(A18="","",COUNTIFS('DETAILED TASK BREAKDOWN'!$H$5:$H$1000,A18,'DETAILED TASK BREAKDOWN'!$J$5:$J$1000,"Done"))</x:f>
      </x:c>
      <x:c r="F18" s="1" t="str">
        <x:f>IF(A18="","",COUNTIFS('DETAILED TASK BREAKDOWN'!$H$5:$H$1000,A18,'DETAILED TASK BREAKDOWN'!$J$5:$J$1000,"In Progress"))</x:f>
      </x:c>
      <x:c r="G18" s="1" t="str">
        <x:f>IF(A18="","",SUMIFS('DETAILED TASK BREAKDOWN'!$M$5:$M$1000,'DETAILED TASK BREAKDOWN'!$H$5:$H$1000,A18))</x:f>
      </x:c>
      <x:c r="H18" s="9" t="str">
        <x:f>IF(OR(A18="",G18=0),"",SUMPRODUCT(('DETAILED TASK BREAKDOWN'!$H$5:$H$1000=A18)*'DETAILED TASK BREAKDOWN'!$K$5:$K$1000*'DETAILED TASK BREAKDOWN'!$M$5:$M$1000)/G18)</x:f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5"/>
      <x:c r="B19" s="15"/>
      <x:c r="C19" s="1" t="str">
        <x:f>IF(A19="","",COUNTIFS('MODULE OVERVIEW'!$E$5:$E$100,A19))</x:f>
      </x:c>
      <x:c r="D19" s="1" t="str">
        <x:f>IF(A19="","",COUNTIFS('DETAILED TASK BREAKDOWN'!$H$5:$H$1000,A19,'DETAILED TASK BREAKDOWN'!$A$5:$A$1000,"&lt;&gt;"))</x:f>
      </x:c>
      <x:c r="E19" s="1" t="str">
        <x:f>IF(A19="","",COUNTIFS('DETAILED TASK BREAKDOWN'!$H$5:$H$1000,A19,'DETAILED TASK BREAKDOWN'!$J$5:$J$1000,"Done"))</x:f>
      </x:c>
      <x:c r="F19" s="1" t="str">
        <x:f>IF(A19="","",COUNTIFS('DETAILED TASK BREAKDOWN'!$H$5:$H$1000,A19,'DETAILED TASK BREAKDOWN'!$J$5:$J$1000,"In Progress"))</x:f>
      </x:c>
      <x:c r="G19" s="1" t="str">
        <x:f>IF(A19="","",SUMIFS('DETAILED TASK BREAKDOWN'!$M$5:$M$1000,'DETAILED TASK BREAKDOWN'!$H$5:$H$1000,A19))</x:f>
      </x:c>
      <x:c r="H19" s="9" t="str">
        <x:f>IF(OR(A19="",G19=0),"",SUMPRODUCT(('DETAILED TASK BREAKDOWN'!$H$5:$H$1000=A19)*'DETAILED TASK BREAKDOWN'!$K$5:$K$1000*'DETAILED TASK BREAKDOWN'!$M$5:$M$1000)/G19)</x:f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5"/>
      <x:c r="B20" s="15"/>
      <x:c r="C20" s="1" t="str">
        <x:f>IF(A20="","",COUNTIFS('MODULE OVERVIEW'!$E$5:$E$100,A20))</x:f>
      </x:c>
      <x:c r="D20" s="1" t="str">
        <x:f>IF(A20="","",COUNTIFS('DETAILED TASK BREAKDOWN'!$H$5:$H$1000,A20,'DETAILED TASK BREAKDOWN'!$A$5:$A$1000,"&lt;&gt;"))</x:f>
      </x:c>
      <x:c r="E20" s="1" t="str">
        <x:f>IF(A20="","",COUNTIFS('DETAILED TASK BREAKDOWN'!$H$5:$H$1000,A20,'DETAILED TASK BREAKDOWN'!$J$5:$J$1000,"Done"))</x:f>
      </x:c>
      <x:c r="F20" s="1" t="str">
        <x:f>IF(A20="","",COUNTIFS('DETAILED TASK BREAKDOWN'!$H$5:$H$1000,A20,'DETAILED TASK BREAKDOWN'!$J$5:$J$1000,"In Progress"))</x:f>
      </x:c>
      <x:c r="G20" s="1" t="str">
        <x:f>IF(A20="","",SUMIFS('DETAILED TASK BREAKDOWN'!$M$5:$M$1000,'DETAILED TASK BREAKDOWN'!$H$5:$H$1000,A20))</x:f>
      </x:c>
      <x:c r="H20" s="9" t="str">
        <x:f>IF(OR(A20="",G20=0),"",SUMPRODUCT(('DETAILED TASK BREAKDOWN'!$H$5:$H$1000=A20)*'DETAILED TASK BREAKDOWN'!$K$5:$K$1000*'DETAILED TASK BREAKDOWN'!$M$5:$M$1000)/G20)</x:f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5"/>
      <x:c r="B21" s="15"/>
      <x:c r="C21" s="1" t="str">
        <x:f>IF(A21="","",COUNTIFS('MODULE OVERVIEW'!$E$5:$E$100,A21))</x:f>
      </x:c>
      <x:c r="D21" s="1" t="str">
        <x:f>IF(A21="","",COUNTIFS('DETAILED TASK BREAKDOWN'!$H$5:$H$1000,A21,'DETAILED TASK BREAKDOWN'!$A$5:$A$1000,"&lt;&gt;"))</x:f>
      </x:c>
      <x:c r="E21" s="1" t="str">
        <x:f>IF(A21="","",COUNTIFS('DETAILED TASK BREAKDOWN'!$H$5:$H$1000,A21,'DETAILED TASK BREAKDOWN'!$J$5:$J$1000,"Done"))</x:f>
      </x:c>
      <x:c r="F21" s="1" t="str">
        <x:f>IF(A21="","",COUNTIFS('DETAILED TASK BREAKDOWN'!$H$5:$H$1000,A21,'DETAILED TASK BREAKDOWN'!$J$5:$J$1000,"In Progress"))</x:f>
      </x:c>
      <x:c r="G21" s="1" t="str">
        <x:f>IF(A21="","",SUMIFS('DETAILED TASK BREAKDOWN'!$M$5:$M$1000,'DETAILED TASK BREAKDOWN'!$H$5:$H$1000,A21))</x:f>
      </x:c>
      <x:c r="H21" s="9" t="str">
        <x:f>IF(OR(A21="",G21=0),"",SUMPRODUCT(('DETAILED TASK BREAKDOWN'!$H$5:$H$1000=A21)*'DETAILED TASK BREAKDOWN'!$K$5:$K$1000*'DETAILED TASK BREAKDOWN'!$M$5:$M$1000)/G21)</x:f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5"/>
      <x:c r="B22" s="15"/>
      <x:c r="C22" s="1" t="str">
        <x:f>IF(A22="","",COUNTIFS('MODULE OVERVIEW'!$E$5:$E$100,A22))</x:f>
      </x:c>
      <x:c r="D22" s="1" t="str">
        <x:f>IF(A22="","",COUNTIFS('DETAILED TASK BREAKDOWN'!$H$5:$H$1000,A22,'DETAILED TASK BREAKDOWN'!$A$5:$A$1000,"&lt;&gt;"))</x:f>
      </x:c>
      <x:c r="E22" s="1" t="str">
        <x:f>IF(A22="","",COUNTIFS('DETAILED TASK BREAKDOWN'!$H$5:$H$1000,A22,'DETAILED TASK BREAKDOWN'!$J$5:$J$1000,"Done"))</x:f>
      </x:c>
      <x:c r="F22" s="1" t="str">
        <x:f>IF(A22="","",COUNTIFS('DETAILED TASK BREAKDOWN'!$H$5:$H$1000,A22,'DETAILED TASK BREAKDOWN'!$J$5:$J$1000,"In Progress"))</x:f>
      </x:c>
      <x:c r="G22" s="1" t="str">
        <x:f>IF(A22="","",SUMIFS('DETAILED TASK BREAKDOWN'!$M$5:$M$1000,'DETAILED TASK BREAKDOWN'!$H$5:$H$1000,A22))</x:f>
      </x:c>
      <x:c r="H22" s="9" t="str">
        <x:f>IF(OR(A22="",G22=0),"",SUMPRODUCT(('DETAILED TASK BREAKDOWN'!$H$5:$H$1000=A22)*'DETAILED TASK BREAKDOWN'!$K$5:$K$1000*'DETAILED TASK BREAKDOWN'!$M$5:$M$1000)/G22)</x:f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5"/>
      <x:c r="B23" s="15"/>
      <x:c r="C23" s="1" t="str">
        <x:f>IF(A23="","",COUNTIFS('MODULE OVERVIEW'!$E$5:$E$100,A23))</x:f>
      </x:c>
      <x:c r="D23" s="1" t="str">
        <x:f>IF(A23="","",COUNTIFS('DETAILED TASK BREAKDOWN'!$H$5:$H$1000,A23,'DETAILED TASK BREAKDOWN'!$A$5:$A$1000,"&lt;&gt;"))</x:f>
      </x:c>
      <x:c r="E23" s="1" t="str">
        <x:f>IF(A23="","",COUNTIFS('DETAILED TASK BREAKDOWN'!$H$5:$H$1000,A23,'DETAILED TASK BREAKDOWN'!$J$5:$J$1000,"Done"))</x:f>
      </x:c>
      <x:c r="F23" s="1" t="str">
        <x:f>IF(A23="","",COUNTIFS('DETAILED TASK BREAKDOWN'!$H$5:$H$1000,A23,'DETAILED TASK BREAKDOWN'!$J$5:$J$1000,"In Progress"))</x:f>
      </x:c>
      <x:c r="G23" s="1" t="str">
        <x:f>IF(A23="","",SUMIFS('DETAILED TASK BREAKDOWN'!$M$5:$M$1000,'DETAILED TASK BREAKDOWN'!$H$5:$H$1000,A23))</x:f>
      </x:c>
      <x:c r="H23" s="9" t="str">
        <x:f>IF(OR(A23="",G23=0),"",SUMPRODUCT(('DETAILED TASK BREAKDOWN'!$H$5:$H$1000=A23)*'DETAILED TASK BREAKDOWN'!$K$5:$K$1000*'DETAILED TASK BREAKDOWN'!$M$5:$M$1000)/G23)</x:f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5"/>
      <x:c r="B24" s="15"/>
      <x:c r="C24" s="1" t="str">
        <x:f>IF(A24="","",COUNTIFS('MODULE OVERVIEW'!$E$5:$E$100,A24))</x:f>
      </x:c>
      <x:c r="D24" s="1" t="str">
        <x:f>IF(A24="","",COUNTIFS('DETAILED TASK BREAKDOWN'!$H$5:$H$1000,A24,'DETAILED TASK BREAKDOWN'!$A$5:$A$1000,"&lt;&gt;"))</x:f>
      </x:c>
      <x:c r="E24" s="1" t="str">
        <x:f>IF(A24="","",COUNTIFS('DETAILED TASK BREAKDOWN'!$H$5:$H$1000,A24,'DETAILED TASK BREAKDOWN'!$J$5:$J$1000,"Done"))</x:f>
      </x:c>
      <x:c r="F24" s="1" t="str">
        <x:f>IF(A24="","",COUNTIFS('DETAILED TASK BREAKDOWN'!$H$5:$H$1000,A24,'DETAILED TASK BREAKDOWN'!$J$5:$J$1000,"In Progress"))</x:f>
      </x:c>
      <x:c r="G24" s="1" t="str">
        <x:f>IF(A24="","",SUMIFS('DETAILED TASK BREAKDOWN'!$M$5:$M$1000,'DETAILED TASK BREAKDOWN'!$H$5:$H$1000,A24))</x:f>
      </x:c>
      <x:c r="H24" s="9" t="str">
        <x:f>IF(OR(A24="",G24=0),"",SUMPRODUCT(('DETAILED TASK BREAKDOWN'!$H$5:$H$1000=A24)*'DETAILED TASK BREAKDOWN'!$K$5:$K$1000*'DETAILED TASK BREAKDOWN'!$M$5:$M$1000)/G24)</x:f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5"/>
      <x:c r="B25" s="15"/>
      <x:c r="C25" s="1" t="str">
        <x:f>IF(A25="","",COUNTIFS('MODULE OVERVIEW'!$E$5:$E$100,A25))</x:f>
      </x:c>
      <x:c r="D25" s="1" t="str">
        <x:f>IF(A25="","",COUNTIFS('DETAILED TASK BREAKDOWN'!$H$5:$H$1000,A25,'DETAILED TASK BREAKDOWN'!$A$5:$A$1000,"&lt;&gt;"))</x:f>
      </x:c>
      <x:c r="E25" s="1" t="str">
        <x:f>IF(A25="","",COUNTIFS('DETAILED TASK BREAKDOWN'!$H$5:$H$1000,A25,'DETAILED TASK BREAKDOWN'!$J$5:$J$1000,"Done"))</x:f>
      </x:c>
      <x:c r="F25" s="1" t="str">
        <x:f>IF(A25="","",COUNTIFS('DETAILED TASK BREAKDOWN'!$H$5:$H$1000,A25,'DETAILED TASK BREAKDOWN'!$J$5:$J$1000,"In Progress"))</x:f>
      </x:c>
      <x:c r="G25" s="1" t="str">
        <x:f>IF(A25="","",SUMIFS('DETAILED TASK BREAKDOWN'!$M$5:$M$1000,'DETAILED TASK BREAKDOWN'!$H$5:$H$1000,A25))</x:f>
      </x:c>
      <x:c r="H25" s="9" t="str">
        <x:f>IF(OR(A25="",G25=0),"",SUMPRODUCT(('DETAILED TASK BREAKDOWN'!$H$5:$H$1000=A25)*'DETAILED TASK BREAKDOWN'!$K$5:$K$1000*'DETAILED TASK BREAKDOWN'!$M$5:$M$1000)/G25)</x:f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5"/>
      <x:c r="B26" s="15"/>
      <x:c r="C26" s="1" t="str">
        <x:f>IF(A26="","",COUNTIFS('MODULE OVERVIEW'!$E$5:$E$100,A26))</x:f>
      </x:c>
      <x:c r="D26" s="1" t="str">
        <x:f>IF(A26="","",COUNTIFS('DETAILED TASK BREAKDOWN'!$H$5:$H$1000,A26,'DETAILED TASK BREAKDOWN'!$A$5:$A$1000,"&lt;&gt;"))</x:f>
      </x:c>
      <x:c r="E26" s="1" t="str">
        <x:f>IF(A26="","",COUNTIFS('DETAILED TASK BREAKDOWN'!$H$5:$H$1000,A26,'DETAILED TASK BREAKDOWN'!$J$5:$J$1000,"Done"))</x:f>
      </x:c>
      <x:c r="F26" s="1" t="str">
        <x:f>IF(A26="","",COUNTIFS('DETAILED TASK BREAKDOWN'!$H$5:$H$1000,A26,'DETAILED TASK BREAKDOWN'!$J$5:$J$1000,"In Progress"))</x:f>
      </x:c>
      <x:c r="G26" s="1" t="str">
        <x:f>IF(A26="","",SUMIFS('DETAILED TASK BREAKDOWN'!$M$5:$M$1000,'DETAILED TASK BREAKDOWN'!$H$5:$H$1000,A26))</x:f>
      </x:c>
      <x:c r="H26" s="9" t="str">
        <x:f>IF(OR(A26="",G26=0),"",SUMPRODUCT(('DETAILED TASK BREAKDOWN'!$H$5:$H$1000=A26)*'DETAILED TASK BREAKDOWN'!$K$5:$K$1000*'DETAILED TASK BREAKDOWN'!$M$5:$M$1000)/G26)</x:f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5"/>
      <x:c r="B27" s="15"/>
      <x:c r="C27" s="1" t="str">
        <x:f>IF(A27="","",COUNTIFS('MODULE OVERVIEW'!$E$5:$E$100,A27))</x:f>
      </x:c>
      <x:c r="D27" s="1" t="str">
        <x:f>IF(A27="","",COUNTIFS('DETAILED TASK BREAKDOWN'!$H$5:$H$1000,A27,'DETAILED TASK BREAKDOWN'!$A$5:$A$1000,"&lt;&gt;"))</x:f>
      </x:c>
      <x:c r="E27" s="1" t="str">
        <x:f>IF(A27="","",COUNTIFS('DETAILED TASK BREAKDOWN'!$H$5:$H$1000,A27,'DETAILED TASK BREAKDOWN'!$J$5:$J$1000,"Done"))</x:f>
      </x:c>
      <x:c r="F27" s="1" t="str">
        <x:f>IF(A27="","",COUNTIFS('DETAILED TASK BREAKDOWN'!$H$5:$H$1000,A27,'DETAILED TASK BREAKDOWN'!$J$5:$J$1000,"In Progress"))</x:f>
      </x:c>
      <x:c r="G27" s="1" t="str">
        <x:f>IF(A27="","",SUMIFS('DETAILED TASK BREAKDOWN'!$M$5:$M$1000,'DETAILED TASK BREAKDOWN'!$H$5:$H$1000,A27))</x:f>
      </x:c>
      <x:c r="H27" s="9" t="str">
        <x:f>IF(OR(A27="",G27=0),"",SUMPRODUCT(('DETAILED TASK BREAKDOWN'!$H$5:$H$1000=A27)*'DETAILED TASK BREAKDOWN'!$K$5:$K$1000*'DETAILED TASK BREAKDOWN'!$M$5:$M$1000)/G27)</x:f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5"/>
      <x:c r="B28" s="15"/>
      <x:c r="C28" s="1" t="str">
        <x:f>IF(A28="","",COUNTIFS('MODULE OVERVIEW'!$E$5:$E$100,A28))</x:f>
      </x:c>
      <x:c r="D28" s="1" t="str">
        <x:f>IF(A28="","",COUNTIFS('DETAILED TASK BREAKDOWN'!$H$5:$H$1000,A28,'DETAILED TASK BREAKDOWN'!$A$5:$A$1000,"&lt;&gt;"))</x:f>
      </x:c>
      <x:c r="E28" s="1" t="str">
        <x:f>IF(A28="","",COUNTIFS('DETAILED TASK BREAKDOWN'!$H$5:$H$1000,A28,'DETAILED TASK BREAKDOWN'!$J$5:$J$1000,"Done"))</x:f>
      </x:c>
      <x:c r="F28" s="1" t="str">
        <x:f>IF(A28="","",COUNTIFS('DETAILED TASK BREAKDOWN'!$H$5:$H$1000,A28,'DETAILED TASK BREAKDOWN'!$J$5:$J$1000,"In Progress"))</x:f>
      </x:c>
      <x:c r="G28" s="1" t="str">
        <x:f>IF(A28="","",SUMIFS('DETAILED TASK BREAKDOWN'!$M$5:$M$1000,'DETAILED TASK BREAKDOWN'!$H$5:$H$1000,A28))</x:f>
      </x:c>
      <x:c r="H28" s="9" t="str">
        <x:f>IF(OR(A28="",G28=0),"",SUMPRODUCT(('DETAILED TASK BREAKDOWN'!$H$5:$H$1000=A28)*'DETAILED TASK BREAKDOWN'!$K$5:$K$1000*'DETAILED TASK BREAKDOWN'!$M$5:$M$1000)/G28)</x:f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5"/>
      <x:c r="B29" s="15"/>
      <x:c r="C29" s="1" t="str">
        <x:f>IF(A29="","",COUNTIFS('MODULE OVERVIEW'!$E$5:$E$100,A29))</x:f>
      </x:c>
      <x:c r="D29" s="1" t="str">
        <x:f>IF(A29="","",COUNTIFS('DETAILED TASK BREAKDOWN'!$H$5:$H$1000,A29,'DETAILED TASK BREAKDOWN'!$A$5:$A$1000,"&lt;&gt;"))</x:f>
      </x:c>
      <x:c r="E29" s="1" t="str">
        <x:f>IF(A29="","",COUNTIFS('DETAILED TASK BREAKDOWN'!$H$5:$H$1000,A29,'DETAILED TASK BREAKDOWN'!$J$5:$J$1000,"Done"))</x:f>
      </x:c>
      <x:c r="F29" s="1" t="str">
        <x:f>IF(A29="","",COUNTIFS('DETAILED TASK BREAKDOWN'!$H$5:$H$1000,A29,'DETAILED TASK BREAKDOWN'!$J$5:$J$1000,"In Progress"))</x:f>
      </x:c>
      <x:c r="G29" s="1" t="str">
        <x:f>IF(A29="","",SUMIFS('DETAILED TASK BREAKDOWN'!$M$5:$M$1000,'DETAILED TASK BREAKDOWN'!$H$5:$H$1000,A29))</x:f>
      </x:c>
      <x:c r="H29" s="9" t="str">
        <x:f>IF(OR(A29="",G29=0),"",SUMPRODUCT(('DETAILED TASK BREAKDOWN'!$H$5:$H$1000=A29)*'DETAILED TASK BREAKDOWN'!$K$5:$K$1000*'DETAILED TASK BREAKDOWN'!$M$5:$M$1000)/G29)</x:f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5"/>
      <x:c r="B30" s="15"/>
      <x:c r="C30" s="1" t="str">
        <x:f>IF(A30="","",COUNTIFS('MODULE OVERVIEW'!$E$5:$E$100,A30))</x:f>
      </x:c>
      <x:c r="D30" s="1" t="str">
        <x:f>IF(A30="","",COUNTIFS('DETAILED TASK BREAKDOWN'!$H$5:$H$1000,A30,'DETAILED TASK BREAKDOWN'!$A$5:$A$1000,"&lt;&gt;"))</x:f>
      </x:c>
      <x:c r="E30" s="1" t="str">
        <x:f>IF(A30="","",COUNTIFS('DETAILED TASK BREAKDOWN'!$H$5:$H$1000,A30,'DETAILED TASK BREAKDOWN'!$J$5:$J$1000,"Done"))</x:f>
      </x:c>
      <x:c r="F30" s="1" t="str">
        <x:f>IF(A30="","",COUNTIFS('DETAILED TASK BREAKDOWN'!$H$5:$H$1000,A30,'DETAILED TASK BREAKDOWN'!$J$5:$J$1000,"In Progress"))</x:f>
      </x:c>
      <x:c r="G30" s="1" t="str">
        <x:f>IF(A30="","",SUMIFS('DETAILED TASK BREAKDOWN'!$M$5:$M$1000,'DETAILED TASK BREAKDOWN'!$H$5:$H$1000,A30))</x:f>
      </x:c>
      <x:c r="H30" s="9" t="str">
        <x:f>IF(OR(A30="",G30=0),"",SUMPRODUCT(('DETAILED TASK BREAKDOWN'!$H$5:$H$1000=A30)*'DETAILED TASK BREAKDOWN'!$K$5:$K$1000*'DETAILED TASK BREAKDOWN'!$M$5:$M$1000)/G30)</x:f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5"/>
      <x:c r="B31" s="15"/>
      <x:c r="C31" s="1" t="str">
        <x:f>IF(A31="","",COUNTIFS('MODULE OVERVIEW'!$E$5:$E$100,A31))</x:f>
      </x:c>
      <x:c r="D31" s="1" t="str">
        <x:f>IF(A31="","",COUNTIFS('DETAILED TASK BREAKDOWN'!$H$5:$H$1000,A31,'DETAILED TASK BREAKDOWN'!$A$5:$A$1000,"&lt;&gt;"))</x:f>
      </x:c>
      <x:c r="E31" s="1" t="str">
        <x:f>IF(A31="","",COUNTIFS('DETAILED TASK BREAKDOWN'!$H$5:$H$1000,A31,'DETAILED TASK BREAKDOWN'!$J$5:$J$1000,"Done"))</x:f>
      </x:c>
      <x:c r="F31" s="1" t="str">
        <x:f>IF(A31="","",COUNTIFS('DETAILED TASK BREAKDOWN'!$H$5:$H$1000,A31,'DETAILED TASK BREAKDOWN'!$J$5:$J$1000,"In Progress"))</x:f>
      </x:c>
      <x:c r="G31" s="1" t="str">
        <x:f>IF(A31="","",SUMIFS('DETAILED TASK BREAKDOWN'!$M$5:$M$1000,'DETAILED TASK BREAKDOWN'!$H$5:$H$1000,A31))</x:f>
      </x:c>
      <x:c r="H31" s="9" t="str">
        <x:f>IF(OR(A31="",G31=0),"",SUMPRODUCT(('DETAILED TASK BREAKDOWN'!$H$5:$H$1000=A31)*'DETAILED TASK BREAKDOWN'!$K$5:$K$1000*'DETAILED TASK BREAKDOWN'!$M$5:$M$1000)/G31)</x:f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5"/>
      <x:c r="B32" s="15"/>
      <x:c r="C32" s="1" t="str">
        <x:f>IF(A32="","",COUNTIFS('MODULE OVERVIEW'!$E$5:$E$100,A32))</x:f>
      </x:c>
      <x:c r="D32" s="1" t="str">
        <x:f>IF(A32="","",COUNTIFS('DETAILED TASK BREAKDOWN'!$H$5:$H$1000,A32,'DETAILED TASK BREAKDOWN'!$A$5:$A$1000,"&lt;&gt;"))</x:f>
      </x:c>
      <x:c r="E32" s="1" t="str">
        <x:f>IF(A32="","",COUNTIFS('DETAILED TASK BREAKDOWN'!$H$5:$H$1000,A32,'DETAILED TASK BREAKDOWN'!$J$5:$J$1000,"Done"))</x:f>
      </x:c>
      <x:c r="F32" s="1" t="str">
        <x:f>IF(A32="","",COUNTIFS('DETAILED TASK BREAKDOWN'!$H$5:$H$1000,A32,'DETAILED TASK BREAKDOWN'!$J$5:$J$1000,"In Progress"))</x:f>
      </x:c>
      <x:c r="G32" s="1" t="str">
        <x:f>IF(A32="","",SUMIFS('DETAILED TASK BREAKDOWN'!$M$5:$M$1000,'DETAILED TASK BREAKDOWN'!$H$5:$H$1000,A32))</x:f>
      </x:c>
      <x:c r="H32" s="9" t="str">
        <x:f>IF(OR(A32="",G32=0),"",SUMPRODUCT(('DETAILED TASK BREAKDOWN'!$H$5:$H$1000=A32)*'DETAILED TASK BREAKDOWN'!$K$5:$K$1000*'DETAILED TASK BREAKDOWN'!$M$5:$M$1000)/G32)</x:f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5"/>
      <x:c r="B33" s="15"/>
      <x:c r="C33" s="1" t="str">
        <x:f>IF(A33="","",COUNTIFS('MODULE OVERVIEW'!$E$5:$E$100,A33))</x:f>
      </x:c>
      <x:c r="D33" s="1" t="str">
        <x:f>IF(A33="","",COUNTIFS('DETAILED TASK BREAKDOWN'!$H$5:$H$1000,A33,'DETAILED TASK BREAKDOWN'!$A$5:$A$1000,"&lt;&gt;"))</x:f>
      </x:c>
      <x:c r="E33" s="1" t="str">
        <x:f>IF(A33="","",COUNTIFS('DETAILED TASK BREAKDOWN'!$H$5:$H$1000,A33,'DETAILED TASK BREAKDOWN'!$J$5:$J$1000,"Done"))</x:f>
      </x:c>
      <x:c r="F33" s="1" t="str">
        <x:f>IF(A33="","",COUNTIFS('DETAILED TASK BREAKDOWN'!$H$5:$H$1000,A33,'DETAILED TASK BREAKDOWN'!$J$5:$J$1000,"In Progress"))</x:f>
      </x:c>
      <x:c r="G33" s="1" t="str">
        <x:f>IF(A33="","",SUMIFS('DETAILED TASK BREAKDOWN'!$M$5:$M$1000,'DETAILED TASK BREAKDOWN'!$H$5:$H$1000,A33))</x:f>
      </x:c>
      <x:c r="H33" s="9" t="str">
        <x:f>IF(OR(A33="",G33=0),"",SUMPRODUCT(('DETAILED TASK BREAKDOWN'!$H$5:$H$1000=A33)*'DETAILED TASK BREAKDOWN'!$K$5:$K$1000*'DETAILED TASK BREAKDOWN'!$M$5:$M$1000)/G33)</x:f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5"/>
      <x:c r="B34" s="15"/>
      <x:c r="C34" s="1" t="str">
        <x:f>IF(A34="","",COUNTIFS('MODULE OVERVIEW'!$E$5:$E$100,A34))</x:f>
      </x:c>
      <x:c r="D34" s="1" t="str">
        <x:f>IF(A34="","",COUNTIFS('DETAILED TASK BREAKDOWN'!$H$5:$H$1000,A34,'DETAILED TASK BREAKDOWN'!$A$5:$A$1000,"&lt;&gt;"))</x:f>
      </x:c>
      <x:c r="E34" s="1" t="str">
        <x:f>IF(A34="","",COUNTIFS('DETAILED TASK BREAKDOWN'!$H$5:$H$1000,A34,'DETAILED TASK BREAKDOWN'!$J$5:$J$1000,"Done"))</x:f>
      </x:c>
      <x:c r="F34" s="1" t="str">
        <x:f>IF(A34="","",COUNTIFS('DETAILED TASK BREAKDOWN'!$H$5:$H$1000,A34,'DETAILED TASK BREAKDOWN'!$J$5:$J$1000,"In Progress"))</x:f>
      </x:c>
      <x:c r="G34" s="1" t="str">
        <x:f>IF(A34="","",SUMIFS('DETAILED TASK BREAKDOWN'!$M$5:$M$1000,'DETAILED TASK BREAKDOWN'!$H$5:$H$1000,A34))</x:f>
      </x:c>
      <x:c r="H34" s="9" t="str">
        <x:f>IF(OR(A34="",G34=0),"",SUMPRODUCT(('DETAILED TASK BREAKDOWN'!$H$5:$H$1000=A34)*'DETAILED TASK BREAKDOWN'!$K$5:$K$1000*'DETAILED TASK BREAKDOWN'!$M$5:$M$1000)/G34)</x:f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5"/>
      <x:c r="B35" s="15"/>
      <x:c r="C35" s="1" t="str">
        <x:f>IF(A35="","",COUNTIFS('MODULE OVERVIEW'!$E$5:$E$100,A35))</x:f>
      </x:c>
      <x:c r="D35" s="1" t="str">
        <x:f>IF(A35="","",COUNTIFS('DETAILED TASK BREAKDOWN'!$H$5:$H$1000,A35,'DETAILED TASK BREAKDOWN'!$A$5:$A$1000,"&lt;&gt;"))</x:f>
      </x:c>
      <x:c r="E35" s="1" t="str">
        <x:f>IF(A35="","",COUNTIFS('DETAILED TASK BREAKDOWN'!$H$5:$H$1000,A35,'DETAILED TASK BREAKDOWN'!$J$5:$J$1000,"Done"))</x:f>
      </x:c>
      <x:c r="F35" s="1" t="str">
        <x:f>IF(A35="","",COUNTIFS('DETAILED TASK BREAKDOWN'!$H$5:$H$1000,A35,'DETAILED TASK BREAKDOWN'!$J$5:$J$1000,"In Progress"))</x:f>
      </x:c>
      <x:c r="G35" s="1" t="str">
        <x:f>IF(A35="","",SUMIFS('DETAILED TASK BREAKDOWN'!$M$5:$M$1000,'DETAILED TASK BREAKDOWN'!$H$5:$H$1000,A35))</x:f>
      </x:c>
      <x:c r="H35" s="9" t="str">
        <x:f>IF(OR(A35="",G35=0),"",SUMPRODUCT(('DETAILED TASK BREAKDOWN'!$H$5:$H$1000=A35)*'DETAILED TASK BREAKDOWN'!$K$5:$K$1000*'DETAILED TASK BREAKDOWN'!$M$5:$M$1000)/G35)</x:f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5"/>
      <x:c r="B36" s="15"/>
      <x:c r="C36" s="1" t="str">
        <x:f>IF(A36="","",COUNTIFS('MODULE OVERVIEW'!$E$5:$E$100,A36))</x:f>
      </x:c>
      <x:c r="D36" s="1" t="str">
        <x:f>IF(A36="","",COUNTIFS('DETAILED TASK BREAKDOWN'!$H$5:$H$1000,A36,'DETAILED TASK BREAKDOWN'!$A$5:$A$1000,"&lt;&gt;"))</x:f>
      </x:c>
      <x:c r="E36" s="1" t="str">
        <x:f>IF(A36="","",COUNTIFS('DETAILED TASK BREAKDOWN'!$H$5:$H$1000,A36,'DETAILED TASK BREAKDOWN'!$J$5:$J$1000,"Done"))</x:f>
      </x:c>
      <x:c r="F36" s="1" t="str">
        <x:f>IF(A36="","",COUNTIFS('DETAILED TASK BREAKDOWN'!$H$5:$H$1000,A36,'DETAILED TASK BREAKDOWN'!$J$5:$J$1000,"In Progress"))</x:f>
      </x:c>
      <x:c r="G36" s="1" t="str">
        <x:f>IF(A36="","",SUMIFS('DETAILED TASK BREAKDOWN'!$M$5:$M$1000,'DETAILED TASK BREAKDOWN'!$H$5:$H$1000,A36))</x:f>
      </x:c>
      <x:c r="H36" s="9" t="str">
        <x:f>IF(OR(A36="",G36=0),"",SUMPRODUCT(('DETAILED TASK BREAKDOWN'!$H$5:$H$1000=A36)*'DETAILED TASK BREAKDOWN'!$K$5:$K$1000*'DETAILED TASK BREAKDOWN'!$M$5:$M$1000)/G36)</x:f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5"/>
      <x:c r="B37" s="15"/>
      <x:c r="C37" s="1" t="str">
        <x:f>IF(A37="","",COUNTIFS('MODULE OVERVIEW'!$E$5:$E$100,A37))</x:f>
      </x:c>
      <x:c r="D37" s="1" t="str">
        <x:f>IF(A37="","",COUNTIFS('DETAILED TASK BREAKDOWN'!$H$5:$H$1000,A37,'DETAILED TASK BREAKDOWN'!$A$5:$A$1000,"&lt;&gt;"))</x:f>
      </x:c>
      <x:c r="E37" s="1" t="str">
        <x:f>IF(A37="","",COUNTIFS('DETAILED TASK BREAKDOWN'!$H$5:$H$1000,A37,'DETAILED TASK BREAKDOWN'!$J$5:$J$1000,"Done"))</x:f>
      </x:c>
      <x:c r="F37" s="1" t="str">
        <x:f>IF(A37="","",COUNTIFS('DETAILED TASK BREAKDOWN'!$H$5:$H$1000,A37,'DETAILED TASK BREAKDOWN'!$J$5:$J$1000,"In Progress"))</x:f>
      </x:c>
      <x:c r="G37" s="1" t="str">
        <x:f>IF(A37="","",SUMIFS('DETAILED TASK BREAKDOWN'!$M$5:$M$1000,'DETAILED TASK BREAKDOWN'!$H$5:$H$1000,A37))</x:f>
      </x:c>
      <x:c r="H37" s="9" t="str">
        <x:f>IF(OR(A37="",G37=0),"",SUMPRODUCT(('DETAILED TASK BREAKDOWN'!$H$5:$H$1000=A37)*'DETAILED TASK BREAKDOWN'!$K$5:$K$1000*'DETAILED TASK BREAKDOWN'!$M$5:$M$1000)/G37)</x:f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5"/>
      <x:c r="B38" s="15"/>
      <x:c r="C38" s="1" t="str">
        <x:f>IF(A38="","",COUNTIFS('MODULE OVERVIEW'!$E$5:$E$100,A38))</x:f>
      </x:c>
      <x:c r="D38" s="1" t="str">
        <x:f>IF(A38="","",COUNTIFS('DETAILED TASK BREAKDOWN'!$H$5:$H$1000,A38,'DETAILED TASK BREAKDOWN'!$A$5:$A$1000,"&lt;&gt;"))</x:f>
      </x:c>
      <x:c r="E38" s="1" t="str">
        <x:f>IF(A38="","",COUNTIFS('DETAILED TASK BREAKDOWN'!$H$5:$H$1000,A38,'DETAILED TASK BREAKDOWN'!$J$5:$J$1000,"Done"))</x:f>
      </x:c>
      <x:c r="F38" s="1" t="str">
        <x:f>IF(A38="","",COUNTIFS('DETAILED TASK BREAKDOWN'!$H$5:$H$1000,A38,'DETAILED TASK BREAKDOWN'!$J$5:$J$1000,"In Progress"))</x:f>
      </x:c>
      <x:c r="G38" s="1" t="str">
        <x:f>IF(A38="","",SUMIFS('DETAILED TASK BREAKDOWN'!$M$5:$M$1000,'DETAILED TASK BREAKDOWN'!$H$5:$H$1000,A38))</x:f>
      </x:c>
      <x:c r="H38" s="9" t="str">
        <x:f>IF(OR(A38="",G38=0),"",SUMPRODUCT(('DETAILED TASK BREAKDOWN'!$H$5:$H$1000=A38)*'DETAILED TASK BREAKDOWN'!$K$5:$K$1000*'DETAILED TASK BREAKDOWN'!$M$5:$M$1000)/G38)</x:f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5"/>
      <x:c r="B39" s="15"/>
      <x:c r="C39" s="1" t="str">
        <x:f>IF(A39="","",COUNTIFS('MODULE OVERVIEW'!$E$5:$E$100,A39))</x:f>
      </x:c>
      <x:c r="D39" s="1" t="str">
        <x:f>IF(A39="","",COUNTIFS('DETAILED TASK BREAKDOWN'!$H$5:$H$1000,A39,'DETAILED TASK BREAKDOWN'!$A$5:$A$1000,"&lt;&gt;"))</x:f>
      </x:c>
      <x:c r="E39" s="1" t="str">
        <x:f>IF(A39="","",COUNTIFS('DETAILED TASK BREAKDOWN'!$H$5:$H$1000,A39,'DETAILED TASK BREAKDOWN'!$J$5:$J$1000,"Done"))</x:f>
      </x:c>
      <x:c r="F39" s="1" t="str">
        <x:f>IF(A39="","",COUNTIFS('DETAILED TASK BREAKDOWN'!$H$5:$H$1000,A39,'DETAILED TASK BREAKDOWN'!$J$5:$J$1000,"In Progress"))</x:f>
      </x:c>
      <x:c r="G39" s="1" t="str">
        <x:f>IF(A39="","",SUMIFS('DETAILED TASK BREAKDOWN'!$M$5:$M$1000,'DETAILED TASK BREAKDOWN'!$H$5:$H$1000,A39))</x:f>
      </x:c>
      <x:c r="H39" s="9" t="str">
        <x:f>IF(OR(A39="",G39=0),"",SUMPRODUCT(('DETAILED TASK BREAKDOWN'!$H$5:$H$1000=A39)*'DETAILED TASK BREAKDOWN'!$K$5:$K$1000*'DETAILED TASK BREAKDOWN'!$M$5:$M$1000)/G39)</x:f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5"/>
      <x:c r="B40" s="15"/>
      <x:c r="C40" s="1" t="str">
        <x:f>IF(A40="","",COUNTIFS('MODULE OVERVIEW'!$E$5:$E$100,A40))</x:f>
      </x:c>
      <x:c r="D40" s="1" t="str">
        <x:f>IF(A40="","",COUNTIFS('DETAILED TASK BREAKDOWN'!$H$5:$H$1000,A40,'DETAILED TASK BREAKDOWN'!$A$5:$A$1000,"&lt;&gt;"))</x:f>
      </x:c>
      <x:c r="E40" s="1" t="str">
        <x:f>IF(A40="","",COUNTIFS('DETAILED TASK BREAKDOWN'!$H$5:$H$1000,A40,'DETAILED TASK BREAKDOWN'!$J$5:$J$1000,"Done"))</x:f>
      </x:c>
      <x:c r="F40" s="1" t="str">
        <x:f>IF(A40="","",COUNTIFS('DETAILED TASK BREAKDOWN'!$H$5:$H$1000,A40,'DETAILED TASK BREAKDOWN'!$J$5:$J$1000,"In Progress"))</x:f>
      </x:c>
      <x:c r="G40" s="1" t="str">
        <x:f>IF(A40="","",SUMIFS('DETAILED TASK BREAKDOWN'!$M$5:$M$1000,'DETAILED TASK BREAKDOWN'!$H$5:$H$1000,A40))</x:f>
      </x:c>
      <x:c r="H40" s="9" t="str">
        <x:f>IF(OR(A40="",G40=0),"",SUMPRODUCT(('DETAILED TASK BREAKDOWN'!$H$5:$H$1000=A40)*'DETAILED TASK BREAKDOWN'!$K$5:$K$1000*'DETAILED TASK BREAKDOWN'!$M$5:$M$1000)/G40)</x:f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5"/>
      <x:c r="B41" s="15"/>
      <x:c r="C41" s="1" t="str">
        <x:f>IF(A41="","",COUNTIFS('MODULE OVERVIEW'!$E$5:$E$100,A41))</x:f>
      </x:c>
      <x:c r="D41" s="1" t="str">
        <x:f>IF(A41="","",COUNTIFS('DETAILED TASK BREAKDOWN'!$H$5:$H$1000,A41,'DETAILED TASK BREAKDOWN'!$A$5:$A$1000,"&lt;&gt;"))</x:f>
      </x:c>
      <x:c r="E41" s="1" t="str">
        <x:f>IF(A41="","",COUNTIFS('DETAILED TASK BREAKDOWN'!$H$5:$H$1000,A41,'DETAILED TASK BREAKDOWN'!$J$5:$J$1000,"Done"))</x:f>
      </x:c>
      <x:c r="F41" s="1" t="str">
        <x:f>IF(A41="","",COUNTIFS('DETAILED TASK BREAKDOWN'!$H$5:$H$1000,A41,'DETAILED TASK BREAKDOWN'!$J$5:$J$1000,"In Progress"))</x:f>
      </x:c>
      <x:c r="G41" s="1" t="str">
        <x:f>IF(A41="","",SUMIFS('DETAILED TASK BREAKDOWN'!$M$5:$M$1000,'DETAILED TASK BREAKDOWN'!$H$5:$H$1000,A41))</x:f>
      </x:c>
      <x:c r="H41" s="9" t="str">
        <x:f>IF(OR(A41="",G41=0),"",SUMPRODUCT(('DETAILED TASK BREAKDOWN'!$H$5:$H$1000=A41)*'DETAILED TASK BREAKDOWN'!$K$5:$K$1000*'DETAILED TASK BREAKDOWN'!$M$5:$M$1000)/G41)</x:f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5"/>
      <x:c r="B42" s="15"/>
      <x:c r="C42" s="1" t="str">
        <x:f>IF(A42="","",COUNTIFS('MODULE OVERVIEW'!$E$5:$E$100,A42))</x:f>
      </x:c>
      <x:c r="D42" s="1" t="str">
        <x:f>IF(A42="","",COUNTIFS('DETAILED TASK BREAKDOWN'!$H$5:$H$1000,A42,'DETAILED TASK BREAKDOWN'!$A$5:$A$1000,"&lt;&gt;"))</x:f>
      </x:c>
      <x:c r="E42" s="1" t="str">
        <x:f>IF(A42="","",COUNTIFS('DETAILED TASK BREAKDOWN'!$H$5:$H$1000,A42,'DETAILED TASK BREAKDOWN'!$J$5:$J$1000,"Done"))</x:f>
      </x:c>
      <x:c r="F42" s="1" t="str">
        <x:f>IF(A42="","",COUNTIFS('DETAILED TASK BREAKDOWN'!$H$5:$H$1000,A42,'DETAILED TASK BREAKDOWN'!$J$5:$J$1000,"In Progress"))</x:f>
      </x:c>
      <x:c r="G42" s="1" t="str">
        <x:f>IF(A42="","",SUMIFS('DETAILED TASK BREAKDOWN'!$M$5:$M$1000,'DETAILED TASK BREAKDOWN'!$H$5:$H$1000,A42))</x:f>
      </x:c>
      <x:c r="H42" s="9" t="str">
        <x:f>IF(OR(A42="",G42=0),"",SUMPRODUCT(('DETAILED TASK BREAKDOWN'!$H$5:$H$1000=A42)*'DETAILED TASK BREAKDOWN'!$K$5:$K$1000*'DETAILED TASK BREAKDOWN'!$M$5:$M$1000)/G42)</x:f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5"/>
      <x:c r="B43" s="15"/>
      <x:c r="C43" s="1" t="str">
        <x:f>IF(A43="","",COUNTIFS('MODULE OVERVIEW'!$E$5:$E$100,A43))</x:f>
      </x:c>
      <x:c r="D43" s="1" t="str">
        <x:f>IF(A43="","",COUNTIFS('DETAILED TASK BREAKDOWN'!$H$5:$H$1000,A43,'DETAILED TASK BREAKDOWN'!$A$5:$A$1000,"&lt;&gt;"))</x:f>
      </x:c>
      <x:c r="E43" s="1" t="str">
        <x:f>IF(A43="","",COUNTIFS('DETAILED TASK BREAKDOWN'!$H$5:$H$1000,A43,'DETAILED TASK BREAKDOWN'!$J$5:$J$1000,"Done"))</x:f>
      </x:c>
      <x:c r="F43" s="1" t="str">
        <x:f>IF(A43="","",COUNTIFS('DETAILED TASK BREAKDOWN'!$H$5:$H$1000,A43,'DETAILED TASK BREAKDOWN'!$J$5:$J$1000,"In Progress"))</x:f>
      </x:c>
      <x:c r="G43" s="1" t="str">
        <x:f>IF(A43="","",SUMIFS('DETAILED TASK BREAKDOWN'!$M$5:$M$1000,'DETAILED TASK BREAKDOWN'!$H$5:$H$1000,A43))</x:f>
      </x:c>
      <x:c r="H43" s="9" t="str">
        <x:f>IF(OR(A43="",G43=0),"",SUMPRODUCT(('DETAILED TASK BREAKDOWN'!$H$5:$H$1000=A43)*'DETAILED TASK BREAKDOWN'!$K$5:$K$1000*'DETAILED TASK BREAKDOWN'!$M$5:$M$1000)/G43)</x:f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5"/>
      <x:c r="B44" s="15"/>
      <x:c r="C44" s="1" t="str">
        <x:f>IF(A44="","",COUNTIFS('MODULE OVERVIEW'!$E$5:$E$100,A44))</x:f>
      </x:c>
      <x:c r="D44" s="1" t="str">
        <x:f>IF(A44="","",COUNTIFS('DETAILED TASK BREAKDOWN'!$H$5:$H$1000,A44,'DETAILED TASK BREAKDOWN'!$A$5:$A$1000,"&lt;&gt;"))</x:f>
      </x:c>
      <x:c r="E44" s="1" t="str">
        <x:f>IF(A44="","",COUNTIFS('DETAILED TASK BREAKDOWN'!$H$5:$H$1000,A44,'DETAILED TASK BREAKDOWN'!$J$5:$J$1000,"Done"))</x:f>
      </x:c>
      <x:c r="F44" s="1" t="str">
        <x:f>IF(A44="","",COUNTIFS('DETAILED TASK BREAKDOWN'!$H$5:$H$1000,A44,'DETAILED TASK BREAKDOWN'!$J$5:$J$1000,"In Progress"))</x:f>
      </x:c>
      <x:c r="G44" s="1" t="str">
        <x:f>IF(A44="","",SUMIFS('DETAILED TASK BREAKDOWN'!$M$5:$M$1000,'DETAILED TASK BREAKDOWN'!$H$5:$H$1000,A44))</x:f>
      </x:c>
      <x:c r="H44" s="9" t="str">
        <x:f>IF(OR(A44="",G44=0),"",SUMPRODUCT(('DETAILED TASK BREAKDOWN'!$H$5:$H$1000=A44)*'DETAILED TASK BREAKDOWN'!$K$5:$K$1000*'DETAILED TASK BREAKDOWN'!$M$5:$M$1000)/G44)</x:f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5"/>
      <x:c r="B45" s="15"/>
      <x:c r="C45" s="1" t="str">
        <x:f>IF(A45="","",COUNTIFS('MODULE OVERVIEW'!$E$5:$E$100,A45))</x:f>
      </x:c>
      <x:c r="D45" s="1" t="str">
        <x:f>IF(A45="","",COUNTIFS('DETAILED TASK BREAKDOWN'!$H$5:$H$1000,A45,'DETAILED TASK BREAKDOWN'!$A$5:$A$1000,"&lt;&gt;"))</x:f>
      </x:c>
      <x:c r="E45" s="1" t="str">
        <x:f>IF(A45="","",COUNTIFS('DETAILED TASK BREAKDOWN'!$H$5:$H$1000,A45,'DETAILED TASK BREAKDOWN'!$J$5:$J$1000,"Done"))</x:f>
      </x:c>
      <x:c r="F45" s="1" t="str">
        <x:f>IF(A45="","",COUNTIFS('DETAILED TASK BREAKDOWN'!$H$5:$H$1000,A45,'DETAILED TASK BREAKDOWN'!$J$5:$J$1000,"In Progress"))</x:f>
      </x:c>
      <x:c r="G45" s="1" t="str">
        <x:f>IF(A45="","",SUMIFS('DETAILED TASK BREAKDOWN'!$M$5:$M$1000,'DETAILED TASK BREAKDOWN'!$H$5:$H$1000,A45))</x:f>
      </x:c>
      <x:c r="H45" s="9" t="str">
        <x:f>IF(OR(A45="",G45=0),"",SUMPRODUCT(('DETAILED TASK BREAKDOWN'!$H$5:$H$1000=A45)*'DETAILED TASK BREAKDOWN'!$K$5:$K$1000*'DETAILED TASK BREAKDOWN'!$M$5:$M$1000)/G45)</x:f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5"/>
      <x:c r="B46" s="15"/>
      <x:c r="C46" s="1" t="str">
        <x:f>IF(A46="","",COUNTIFS('MODULE OVERVIEW'!$E$5:$E$100,A46))</x:f>
      </x:c>
      <x:c r="D46" s="1" t="str">
        <x:f>IF(A46="","",COUNTIFS('DETAILED TASK BREAKDOWN'!$H$5:$H$1000,A46,'DETAILED TASK BREAKDOWN'!$A$5:$A$1000,"&lt;&gt;"))</x:f>
      </x:c>
      <x:c r="E46" s="1" t="str">
        <x:f>IF(A46="","",COUNTIFS('DETAILED TASK BREAKDOWN'!$H$5:$H$1000,A46,'DETAILED TASK BREAKDOWN'!$J$5:$J$1000,"Done"))</x:f>
      </x:c>
      <x:c r="F46" s="1" t="str">
        <x:f>IF(A46="","",COUNTIFS('DETAILED TASK BREAKDOWN'!$H$5:$H$1000,A46,'DETAILED TASK BREAKDOWN'!$J$5:$J$1000,"In Progress"))</x:f>
      </x:c>
      <x:c r="G46" s="1" t="str">
        <x:f>IF(A46="","",SUMIFS('DETAILED TASK BREAKDOWN'!$M$5:$M$1000,'DETAILED TASK BREAKDOWN'!$H$5:$H$1000,A46))</x:f>
      </x:c>
      <x:c r="H46" s="9" t="str">
        <x:f>IF(OR(A46="",G46=0),"",SUMPRODUCT(('DETAILED TASK BREAKDOWN'!$H$5:$H$1000=A46)*'DETAILED TASK BREAKDOWN'!$K$5:$K$1000*'DETAILED TASK BREAKDOWN'!$M$5:$M$1000)/G46)</x:f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5"/>
      <x:c r="B47" s="15"/>
      <x:c r="C47" s="1" t="str">
        <x:f>IF(A47="","",COUNTIFS('MODULE OVERVIEW'!$E$5:$E$100,A47))</x:f>
      </x:c>
      <x:c r="D47" s="1" t="str">
        <x:f>IF(A47="","",COUNTIFS('DETAILED TASK BREAKDOWN'!$H$5:$H$1000,A47,'DETAILED TASK BREAKDOWN'!$A$5:$A$1000,"&lt;&gt;"))</x:f>
      </x:c>
      <x:c r="E47" s="1" t="str">
        <x:f>IF(A47="","",COUNTIFS('DETAILED TASK BREAKDOWN'!$H$5:$H$1000,A47,'DETAILED TASK BREAKDOWN'!$J$5:$J$1000,"Done"))</x:f>
      </x:c>
      <x:c r="F47" s="1" t="str">
        <x:f>IF(A47="","",COUNTIFS('DETAILED TASK BREAKDOWN'!$H$5:$H$1000,A47,'DETAILED TASK BREAKDOWN'!$J$5:$J$1000,"In Progress"))</x:f>
      </x:c>
      <x:c r="G47" s="1" t="str">
        <x:f>IF(A47="","",SUMIFS('DETAILED TASK BREAKDOWN'!$M$5:$M$1000,'DETAILED TASK BREAKDOWN'!$H$5:$H$1000,A47))</x:f>
      </x:c>
      <x:c r="H47" s="9" t="str">
        <x:f>IF(OR(A47="",G47=0),"",SUMPRODUCT(('DETAILED TASK BREAKDOWN'!$H$5:$H$1000=A47)*'DETAILED TASK BREAKDOWN'!$K$5:$K$1000*'DETAILED TASK BREAKDOWN'!$M$5:$M$1000)/G47)</x:f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5"/>
      <x:c r="B48" s="15"/>
      <x:c r="C48" s="1" t="str">
        <x:f>IF(A48="","",COUNTIFS('MODULE OVERVIEW'!$E$5:$E$100,A48))</x:f>
      </x:c>
      <x:c r="D48" s="1" t="str">
        <x:f>IF(A48="","",COUNTIFS('DETAILED TASK BREAKDOWN'!$H$5:$H$1000,A48,'DETAILED TASK BREAKDOWN'!$A$5:$A$1000,"&lt;&gt;"))</x:f>
      </x:c>
      <x:c r="E48" s="1" t="str">
        <x:f>IF(A48="","",COUNTIFS('DETAILED TASK BREAKDOWN'!$H$5:$H$1000,A48,'DETAILED TASK BREAKDOWN'!$J$5:$J$1000,"Done"))</x:f>
      </x:c>
      <x:c r="F48" s="1" t="str">
        <x:f>IF(A48="","",COUNTIFS('DETAILED TASK BREAKDOWN'!$H$5:$H$1000,A48,'DETAILED TASK BREAKDOWN'!$J$5:$J$1000,"In Progress"))</x:f>
      </x:c>
      <x:c r="G48" s="1" t="str">
        <x:f>IF(A48="","",SUMIFS('DETAILED TASK BREAKDOWN'!$M$5:$M$1000,'DETAILED TASK BREAKDOWN'!$H$5:$H$1000,A48))</x:f>
      </x:c>
      <x:c r="H48" s="9" t="str">
        <x:f>IF(OR(A48="",G48=0),"",SUMPRODUCT(('DETAILED TASK BREAKDOWN'!$H$5:$H$1000=A48)*'DETAILED TASK BREAKDOWN'!$K$5:$K$1000*'DETAILED TASK BREAKDOWN'!$M$5:$M$1000)/G48)</x:f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5"/>
      <x:c r="B49" s="15"/>
      <x:c r="C49" s="1" t="str">
        <x:f>IF(A49="","",COUNTIFS('MODULE OVERVIEW'!$E$5:$E$100,A49))</x:f>
      </x:c>
      <x:c r="D49" s="1" t="str">
        <x:f>IF(A49="","",COUNTIFS('DETAILED TASK BREAKDOWN'!$H$5:$H$1000,A49,'DETAILED TASK BREAKDOWN'!$A$5:$A$1000,"&lt;&gt;"))</x:f>
      </x:c>
      <x:c r="E49" s="1" t="str">
        <x:f>IF(A49="","",COUNTIFS('DETAILED TASK BREAKDOWN'!$H$5:$H$1000,A49,'DETAILED TASK BREAKDOWN'!$J$5:$J$1000,"Done"))</x:f>
      </x:c>
      <x:c r="F49" s="1" t="str">
        <x:f>IF(A49="","",COUNTIFS('DETAILED TASK BREAKDOWN'!$H$5:$H$1000,A49,'DETAILED TASK BREAKDOWN'!$J$5:$J$1000,"In Progress"))</x:f>
      </x:c>
      <x:c r="G49" s="1" t="str">
        <x:f>IF(A49="","",SUMIFS('DETAILED TASK BREAKDOWN'!$M$5:$M$1000,'DETAILED TASK BREAKDOWN'!$H$5:$H$1000,A49))</x:f>
      </x:c>
      <x:c r="H49" s="9" t="str">
        <x:f>IF(OR(A49="",G49=0),"",SUMPRODUCT(('DETAILED TASK BREAKDOWN'!$H$5:$H$1000=A49)*'DETAILED TASK BREAKDOWN'!$K$5:$K$1000*'DETAILED TASK BREAKDOWN'!$M$5:$M$1000)/G49)</x:f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5"/>
      <x:c r="B50" s="15"/>
      <x:c r="C50" s="1" t="str">
        <x:f>IF(A50="","",COUNTIFS('MODULE OVERVIEW'!$E$5:$E$100,A50))</x:f>
      </x:c>
      <x:c r="D50" s="1" t="str">
        <x:f>IF(A50="","",COUNTIFS('DETAILED TASK BREAKDOWN'!$H$5:$H$1000,A50,'DETAILED TASK BREAKDOWN'!$A$5:$A$1000,"&lt;&gt;"))</x:f>
      </x:c>
      <x:c r="E50" s="1" t="str">
        <x:f>IF(A50="","",COUNTIFS('DETAILED TASK BREAKDOWN'!$H$5:$H$1000,A50,'DETAILED TASK BREAKDOWN'!$J$5:$J$1000,"Done"))</x:f>
      </x:c>
      <x:c r="F50" s="1" t="str">
        <x:f>IF(A50="","",COUNTIFS('DETAILED TASK BREAKDOWN'!$H$5:$H$1000,A50,'DETAILED TASK BREAKDOWN'!$J$5:$J$1000,"In Progress"))</x:f>
      </x:c>
      <x:c r="G50" s="1" t="str">
        <x:f>IF(A50="","",SUMIFS('DETAILED TASK BREAKDOWN'!$M$5:$M$1000,'DETAILED TASK BREAKDOWN'!$H$5:$H$1000,A50))</x:f>
      </x:c>
      <x:c r="H50" s="9" t="str">
        <x:f>IF(OR(A50="",G50=0),"",SUMPRODUCT(('DETAILED TASK BREAKDOWN'!$H$5:$H$1000=A50)*'DETAILED TASK BREAKDOWN'!$K$5:$K$1000*'DETAILED TASK BREAKDOWN'!$M$5:$M$1000)/G50)</x:f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5"/>
      <x:c r="B51" s="15"/>
      <x:c r="C51" s="1" t="str">
        <x:f>IF(A51="","",COUNTIFS('MODULE OVERVIEW'!$E$5:$E$100,A51))</x:f>
      </x:c>
      <x:c r="D51" s="1" t="str">
        <x:f>IF(A51="","",COUNTIFS('DETAILED TASK BREAKDOWN'!$H$5:$H$1000,A51,'DETAILED TASK BREAKDOWN'!$A$5:$A$1000,"&lt;&gt;"))</x:f>
      </x:c>
      <x:c r="E51" s="1" t="str">
        <x:f>IF(A51="","",COUNTIFS('DETAILED TASK BREAKDOWN'!$H$5:$H$1000,A51,'DETAILED TASK BREAKDOWN'!$J$5:$J$1000,"Done"))</x:f>
      </x:c>
      <x:c r="F51" s="1" t="str">
        <x:f>IF(A51="","",COUNTIFS('DETAILED TASK BREAKDOWN'!$H$5:$H$1000,A51,'DETAILED TASK BREAKDOWN'!$J$5:$J$1000,"In Progress"))</x:f>
      </x:c>
      <x:c r="G51" s="1" t="str">
        <x:f>IF(A51="","",SUMIFS('DETAILED TASK BREAKDOWN'!$M$5:$M$1000,'DETAILED TASK BREAKDOWN'!$H$5:$H$1000,A51))</x:f>
      </x:c>
      <x:c r="H51" s="9" t="str">
        <x:f>IF(OR(A51="",G51=0),"",SUMPRODUCT(('DETAILED TASK BREAKDOWN'!$H$5:$H$1000=A51)*'DETAILED TASK BREAKDOWN'!$K$5:$K$1000*'DETAILED TASK BREAKDOWN'!$M$5:$M$1000)/G51)</x:f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5"/>
      <x:c r="B52" s="15"/>
      <x:c r="C52" s="1" t="str">
        <x:f>IF(A52="","",COUNTIFS('MODULE OVERVIEW'!$E$5:$E$100,A52))</x:f>
      </x:c>
      <x:c r="D52" s="1" t="str">
        <x:f>IF(A52="","",COUNTIFS('DETAILED TASK BREAKDOWN'!$H$5:$H$1000,A52,'DETAILED TASK BREAKDOWN'!$A$5:$A$1000,"&lt;&gt;"))</x:f>
      </x:c>
      <x:c r="E52" s="1" t="str">
        <x:f>IF(A52="","",COUNTIFS('DETAILED TASK BREAKDOWN'!$H$5:$H$1000,A52,'DETAILED TASK BREAKDOWN'!$J$5:$J$1000,"Done"))</x:f>
      </x:c>
      <x:c r="F52" s="1" t="str">
        <x:f>IF(A52="","",COUNTIFS('DETAILED TASK BREAKDOWN'!$H$5:$H$1000,A52,'DETAILED TASK BREAKDOWN'!$J$5:$J$1000,"In Progress"))</x:f>
      </x:c>
      <x:c r="G52" s="1" t="str">
        <x:f>IF(A52="","",SUMIFS('DETAILED TASK BREAKDOWN'!$M$5:$M$1000,'DETAILED TASK BREAKDOWN'!$H$5:$H$1000,A52))</x:f>
      </x:c>
      <x:c r="H52" s="9" t="str">
        <x:f>IF(OR(A52="",G52=0),"",SUMPRODUCT(('DETAILED TASK BREAKDOWN'!$H$5:$H$1000=A52)*'DETAILED TASK BREAKDOWN'!$K$5:$K$1000*'DETAILED TASK BREAKDOWN'!$M$5:$M$1000)/G52)</x:f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5"/>
      <x:c r="B53" s="15"/>
      <x:c r="C53" s="1" t="str">
        <x:f>IF(A53="","",COUNTIFS('MODULE OVERVIEW'!$E$5:$E$100,A53))</x:f>
      </x:c>
      <x:c r="D53" s="1" t="str">
        <x:f>IF(A53="","",COUNTIFS('DETAILED TASK BREAKDOWN'!$H$5:$H$1000,A53,'DETAILED TASK BREAKDOWN'!$A$5:$A$1000,"&lt;&gt;"))</x:f>
      </x:c>
      <x:c r="E53" s="1" t="str">
        <x:f>IF(A53="","",COUNTIFS('DETAILED TASK BREAKDOWN'!$H$5:$H$1000,A53,'DETAILED TASK BREAKDOWN'!$J$5:$J$1000,"Done"))</x:f>
      </x:c>
      <x:c r="F53" s="1" t="str">
        <x:f>IF(A53="","",COUNTIFS('DETAILED TASK BREAKDOWN'!$H$5:$H$1000,A53,'DETAILED TASK BREAKDOWN'!$J$5:$J$1000,"In Progress"))</x:f>
      </x:c>
      <x:c r="G53" s="1" t="str">
        <x:f>IF(A53="","",SUMIFS('DETAILED TASK BREAKDOWN'!$M$5:$M$1000,'DETAILED TASK BREAKDOWN'!$H$5:$H$1000,A53))</x:f>
      </x:c>
      <x:c r="H53" s="9" t="str">
        <x:f>IF(OR(A53="",G53=0),"",SUMPRODUCT(('DETAILED TASK BREAKDOWN'!$H$5:$H$1000=A53)*'DETAILED TASK BREAKDOWN'!$K$5:$K$1000*'DETAILED TASK BREAKDOWN'!$M$5:$M$1000)/G53)</x:f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5"/>
      <x:c r="B54" s="15"/>
      <x:c r="C54" s="1" t="str">
        <x:f>IF(A54="","",COUNTIFS('MODULE OVERVIEW'!$E$5:$E$100,A54))</x:f>
      </x:c>
      <x:c r="D54" s="1" t="str">
        <x:f>IF(A54="","",COUNTIFS('DETAILED TASK BREAKDOWN'!$H$5:$H$1000,A54,'DETAILED TASK BREAKDOWN'!$A$5:$A$1000,"&lt;&gt;"))</x:f>
      </x:c>
      <x:c r="E54" s="1" t="str">
        <x:f>IF(A54="","",COUNTIFS('DETAILED TASK BREAKDOWN'!$H$5:$H$1000,A54,'DETAILED TASK BREAKDOWN'!$J$5:$J$1000,"Done"))</x:f>
      </x:c>
      <x:c r="F54" s="1" t="str">
        <x:f>IF(A54="","",COUNTIFS('DETAILED TASK BREAKDOWN'!$H$5:$H$1000,A54,'DETAILED TASK BREAKDOWN'!$J$5:$J$1000,"In Progress"))</x:f>
      </x:c>
      <x:c r="G54" s="1" t="str">
        <x:f>IF(A54="","",SUMIFS('DETAILED TASK BREAKDOWN'!$M$5:$M$1000,'DETAILED TASK BREAKDOWN'!$H$5:$H$1000,A54))</x:f>
      </x:c>
      <x:c r="H54" s="9" t="str">
        <x:f>IF(OR(A54="",G54=0),"",SUMPRODUCT(('DETAILED TASK BREAKDOWN'!$H$5:$H$1000=A54)*'DETAILED TASK BREAKDOWN'!$K$5:$K$1000*'DETAILED TASK BREAKDOWN'!$M$5:$M$1000)/G54)</x:f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</x:sheetData>
  <x:conditionalFormatting sqref="H5:H54">
    <x:cfRule type="dataBar" priority="1">
      <x:dataBar>
        <x:cfvo type="min"/>
        <x:cfvo type="max"/>
        <x:color rgb="FF167D86"/>
      </x:dataBar>
      <x:extLst>
        <x:ext xmlns:x14="http://schemas.microsoft.com/office/spreadsheetml/2009/9/main" uri="{B025F937-C7B1-47D3-B67F-A62EFF666E3E}">
          <x14:id>cc05f4c2-33cf-43bb-838f-3c2d9058de00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97733456cb14ee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cc05f4c2-33cf-43bb-838f-3c2d9058de00">
            <x14:dataBar gradient="0">
              <x14:cfvo type="min"/>
              <x14:cfvo type="max"/>
              <x14:fillColor rgb="FF167D86"/>
            </x14:dataBar>
          </x14:cfRule>
          <xm:sqref>H5:H54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58" hidden="0" customWidth="1"/>
    <x:col min="5" max="5" width="68" hidden="0" customWidth="1"/>
    <x:col min="6" max="6" width="55" hidden="0" customWidth="1"/>
    <x:col min="7" max="7" width="52" hidden="0" customWidth="1"/>
    <x:col min="8" max="8" width="36" hidden="0" customWidth="1"/>
    <x:col min="9" max="9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PHÂN TÍCH CODEBASE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2" customHeight="1">
      <x:c r="A4" s="8" t="str">
        <x:v>Module ID</x:v>
      </x:c>
      <x:c r="B4" s="8" t="str">
        <x:v>Module Name</x:v>
      </x:c>
      <x:c r="C4" s="8" t="str">
        <x:v>Current Implementation</x:v>
      </x:c>
      <x:c r="D4" s="8" t="str">
        <x:v>Missing Features</x:v>
      </x:c>
      <x:c r="E4" s="8" t="str">
        <x:v>Existing File References</x:v>
      </x:c>
      <x:c r="F4" s="8" t="str">
        <x:v>Architectural Concerns</x:v>
      </x:c>
      <x:c r="G4" s="8" t="str">
        <x:v>Required Improvements</x:v>
      </x:c>
      <x:c r="H4" s="8" t="str">
        <x:v>Verification Status</x:v>
      </x:c>
      <x:c r="I4" s="8" t="str">
        <x:v>Notes</x:v>
      </x:c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92" customHeight="1">
      <x:c r="A5" s="20" t="str">
        <x:v>MOD-001</x:v>
      </x:c>
      <x:c r="B5" s="20" t="str">
        <x:v>Quyết định nghiệp vụ và hợp đồng</x:v>
      </x:c>
      <x:c r="C5" s="21" t="str">
        <x:v>Tài liệu đã có PDR-001–004, 7 OQ còn mở.</x:v>
      </x:c>
      <x:c r="D5" s="21" t="str">
        <x:v>Các hợp đồng cho module QLKLTN chưa được chốt.</x:v>
      </x:c>
      <x:c r="E5" s="21" t="str">
        <x:v>docs/CONTENT.md; docs/OPEN_QUESTIONS.md; docs/decisions/</x:v>
      </x:c>
      <x:c r="F5" s="21" t="str">
        <x:v>Thiết kế màn là tham chiếu, không tự giải quyết câu hỏi mở.</x:v>
      </x:c>
      <x:c r="G5" s="21" t="str">
        <x:v>Chốt OQ và API trước triển khai.</x:v>
      </x:c>
      <x:c r="H5" s="21" t="str">
        <x:v>Reviewed docs; no runtime verification</x:v>
      </x:c>
      <x:c r="I5" s="21" t="str">
        <x:v>Không suy ra yêu cầu từ mã Products.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92" customHeight="1">
      <x:c r="A6" s="20" t="str">
        <x:v>MOD-002</x:v>
      </x:c>
      <x:c r="B6" s="20" t="str">
        <x:v>Xác thực và hồ sơ</x:v>
      </x:c>
      <x:c r="C6" s="21" t="str">
        <x:v>Có AuthController, JWT cookie, OTP và test; profileService dùng Map demo.</x:v>
      </x:c>
      <x:c r="D6" s="21" t="str">
        <x:v>API hồ sơ, đổi mật khẩu thường, quên mật khẩu, avatar thật.</x:v>
      </x:c>
      <x:c r="E6" s="21" t="str">
        <x:v>app/backend/src/Backend.API/Controllers/Auth/AuthController.cs; app/frontend/src/features/profile/services/profileService.ts; app/backend/tests/Backend.Tests/Features/Auth/</x:v>
      </x:c>
      <x:c r="F6" s="21" t="str">
        <x:v>Chưa có refresh token; hồ sơ demo mất khi tải lại.</x:v>
      </x:c>
      <x:c r="G6" s="21" t="str">
        <x:v>Kiểm chứng auth hiện có; thêm chức năng thiếu theo hợp đồng.</x:v>
      </x:c>
      <x:c r="H6" s="21" t="str">
        <x:v>Code and tests present; not executed</x:v>
      </x:c>
      <x:c r="I6" s="21" t="str">
        <x:v>PDR-002/003 xác định ba vai trò.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92" customHeight="1">
      <x:c r="A7" s="20" t="str">
        <x:v>MOD-003</x:v>
      </x:c>
      <x:c r="B7" s="20" t="str">
        <x:v>Quản lý người dùng</x:v>
      </x:c>
      <x:c r="C7" s="21" t="str">
        <x:v>Backend chỉ có import/preview + import; frontend CRUD dùng bộ nhớ.</x:v>
      </x:c>
      <x:c r="D7" s="21" t="str">
        <x:v>Danh sách/thêm/sửa/trạng thái/xóa/reset API; đồng bộ danh sách sau import.</x:v>
      </x:c>
      <x:c r="E7" s="21" t="str">
        <x:v>app/backend/src/Backend.API/Controllers/Users/UsersController.cs; app/frontend/src/features/users/services/userService.ts</x:v>
      </x:c>
      <x:c r="F7" s="21" t="str">
        <x:v>Import thật nhưng danh sách demo có thể lệch DB.</x:v>
      </x:c>
      <x:c r="G7" s="21" t="str">
        <x:v>Bổ sung CRUD backend, chuyển frontend sang API.</x:v>
      </x:c>
      <x:c r="H7" s="21" t="str">
        <x:v>Code and tests present; not executed</x:v>
      </x:c>
      <x:c r="I7" s="21" t="str">
        <x:v>PDR-004 xác định hợp đồng CSV.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92" customHeight="1">
      <x:c r="A8" s="20" t="str">
        <x:v>MOD-004</x:v>
      </x:c>
      <x:c r="B8" s="20" t="str">
        <x:v>Đợt khóa luận</x:v>
      </x:c>
      <x:c r="C8" s="21" t="str">
        <x:v>Có trang đợt/Gantt/participant frontend; roundService chạy seed trong bộ nhớ.</x:v>
      </x:c>
      <x:c r="D8" s="21" t="str">
        <x:v>Entity, migration, API đợt/mốc/người tham gia và tích hợp.</x:v>
      </x:c>
      <x:c r="E8" s="21" t="str">
        <x:v>app/frontend/src/features/rounds/services/roundService.ts; app/frontend/src/features/rounds/components/RoundDetailPage.tsx</x:v>
      </x:c>
      <x:c r="F8" s="21" t="str">
        <x:v>Các quy tắc demo chỉ ở client; ngày demo cố định.</x:v>
      </x:c>
      <x:c r="G8" s="21" t="str">
        <x:v>Đưa validation và transaction về backend.</x:v>
      </x:c>
      <x:c r="H8" s="21" t="str">
        <x:v>Frontend demo and tests present; no backend</x:v>
      </x:c>
      <x:c r="I8" s="21" t="str">
        <x:v>Route trong service chỉ là đề xuất.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92" customHeight="1">
      <x:c r="A9" s="20" t="str">
        <x:v>MOD-005</x:v>
      </x:c>
      <x:c r="B9" s="20" t="str">
        <x:v>Đề tài và đăng ký</x:v>
      </x:c>
      <x:c r="C9" s="21" t="str">
        <x:v>Menu/placeholder theo vai trò; không có entity/endpoint đề tài.</x:v>
      </x:c>
      <x:c r="D9" s="21" t="str">
        <x:v>Đề tài, nhóm, đăng ký, đề xuất, xét duyệt, lịch sử.</x:v>
      </x:c>
      <x:c r="E9" s="21" t="str">
        <x:v>app/frontend/src/features/navigation/menuConfig.ts; app/backend/src/Backend.Infrastructure/Data/ApplicationDbContext.cs</x:v>
      </x:c>
      <x:c r="F9" s="21" t="str">
        <x:v>Cạnh tranh đăng ký cần bảo vệ ở DB; OQ-001 mở.</x:v>
      </x:c>
      <x:c r="G9" s="21" t="str">
        <x:v>Schema + API + màn thật sau khi chốt OQ.</x:v>
      </x:c>
      <x:c r="H9" s="21" t="str">
        <x:v>Not implemented in backend</x:v>
      </x:c>
      <x:c r="I9" s="21" t="str">
        <x:v>Products là mã mẫu riêng.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92" customHeight="1">
      <x:c r="A10" s="20" t="str">
        <x:v>MOD-006</x:v>
      </x:c>
      <x:c r="B10" s="20" t="str">
        <x:v>Tài liệu và đề cương</x:v>
      </x:c>
      <x:c r="C10" s="21" t="str">
        <x:v>Có StorageOptions/MinIO adapter nền; chưa có bài nộp/API upload.</x:v>
      </x:c>
      <x:c r="D10" s="21" t="str">
        <x:v>Phiên bản, đề cương, nhận xét, bản cuối và quyền tải.</x:v>
      </x:c>
      <x:c r="E10" s="21" t="str">
        <x:v>app/backend/src/Backend.Infrastructure/Integrations/Storage/StorageOptions.cs; docs/requirements/WORKFLOWS.md</x:v>
      </x:c>
      <x:c r="F10" s="21" t="str">
        <x:v>OQ-002/003/006 chặn quy tắc tài liệu.</x:v>
      </x:c>
      <x:c r="G10" s="21" t="str">
        <x:v>Chốt OQ, thiết kế metadata/storage, triển khai.</x:v>
      </x:c>
      <x:c r="H10" s="21" t="str">
        <x:v>Integration config only</x:v>
      </x:c>
      <x:c r="I10" s="21" t="str">
        <x:v>Chưa coi MinIO config là chức năng upload.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92" customHeight="1">
      <x:c r="A11" s="20" t="str">
        <x:v>MOD-007</x:v>
      </x:c>
      <x:c r="B11" s="20" t="str">
        <x:v>Phân công phản biện</x:v>
      </x:c>
      <x:c r="C11" s="21" t="str">
        <x:v>Không có entity/endpoint phân công; menu GV/Giáo vụ là placeholder.</x:v>
      </x:c>
      <x:c r="D11" s="21" t="str">
        <x:v>Phân công từng/lô, xung đột GVHD, màn theo vai trò.</x:v>
      </x:c>
      <x:c r="E11" s="21" t="str">
        <x:v>app/frontend/src/features/navigation/menuConfig.ts; docs/product/ROLES.md</x:v>
      </x:c>
      <x:c r="F11" s="21" t="str">
        <x:v>Quyền theo đề tài không thể chỉ dựa JWT role.</x:v>
      </x:c>
      <x:c r="G11" s="21" t="str">
        <x:v>Kiểm tra quyền tại handler dựa dữ liệu phân công.</x:v>
      </x:c>
      <x:c r="H11" s="21" t="str">
        <x:v>Not implemented</x:v>
      </x:c>
      <x:c r="I11" s="21" t="str">
        <x:v>PDR-001 xác định vai trò ngữ cảnh.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92" customHeight="1">
      <x:c r="A12" s="20" t="str">
        <x:v>MOD-008</x:v>
      </x:c>
      <x:c r="B12" s="20" t="str">
        <x:v>Hội đồng và lịch bảo vệ</x:v>
      </x:c>
      <x:c r="C12" s="21" t="str">
        <x:v>Không có entity/endpoint hội đồng/lịch.</x:v>
      </x:c>
      <x:c r="D12" s="21" t="str">
        <x:v>Chủ tịch/thư ký, gán đề tài, lịch/phòng, công bố.</x:v>
      </x:c>
      <x:c r="E12" s="21" t="str">
        <x:v>app/backend/src/Backend.Infrastructure/Data/ApplicationDbContext.cs; docs/DESIGN/01-sitemap.md</x:v>
      </x:c>
      <x:c r="F12" s="21" t="str">
        <x:v>OQ-004/005 chặn sửa/xóa sau công bố/có điểm.</x:v>
      </x:c>
      <x:c r="G12" s="21" t="str">
        <x:v>Chốt quy tắc rồi thêm schema, API, UI.</x:v>
      </x:c>
      <x:c r="H12" s="21" t="str">
        <x:v>Not implemented</x:v>
      </x:c>
      <x:c r="I12" s="21" t="str">
        <x:v>Sitemap là tham chiếu UI.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92" customHeight="1">
      <x:c r="A13" s="20" t="str">
        <x:v>MOD-009</x:v>
      </x:c>
      <x:c r="B13" s="20" t="str">
        <x:v>Phiếu đánh giá và điểm</x:v>
      </x:c>
      <x:c r="C13" s="21" t="str">
        <x:v>Không có entity/endpoint mẫu phiếu và điểm.</x:v>
      </x:c>
      <x:c r="D13" s="21" t="str">
        <x:v>Mẫu tiêu chí, bốn phiếu/SV, công thức, cảnh báo lệch.</x:v>
      </x:c>
      <x:c r="E13" s="21" t="str">
        <x:v>docs/requirements/BUSINESS_RULES.md; app/backend/src/Backend.Infrastructure/Data/ApplicationDbContext.cs</x:v>
      </x:c>
      <x:c r="F13" s="21" t="str">
        <x:v>Phải tách điểm từng SV và kiểm quyền người chấm.</x:v>
      </x:c>
      <x:c r="G13" s="21" t="str">
        <x:v>Thiết kế điểm, công thức và test ngưỡng.</x:v>
      </x:c>
      <x:c r="H13" s="21" t="str">
        <x:v>Not implemented</x:v>
      </x:c>
      <x:c r="I13" s="21" t="str">
        <x:v>Thư ký nhập điểm hội đồng theo PDR-001.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92" customHeight="1">
      <x:c r="A14" s="20" t="str">
        <x:v>MOD-010</x:v>
      </x:c>
      <x:c r="B14" s="20" t="str">
        <x:v>Kết quả và công bố</x:v>
      </x:c>
      <x:c r="C14" s="21" t="str">
        <x:v>Không có API xác nhận/công bố hoặc xuất điểm.</x:v>
      </x:c>
      <x:c r="D14" s="21" t="str">
        <x:v>Khóa sửa, công bố có điều kiện, SV xem điểm riêng, xuất bảng.</x:v>
      </x:c>
      <x:c r="E14" s="21" t="str">
        <x:v>docs/requirements/BUSINESS_RULES.md; app/frontend/src/features/navigation/menuConfig.ts</x:v>
      </x:c>
      <x:c r="F14" s="21" t="str">
        <x:v>OQ-002 ảnh hưởng điều kiện bản cuối.</x:v>
      </x:c>
      <x:c r="G14" s="21" t="str">
        <x:v>Thêm transaction và kiểm quyền đọc.</x:v>
      </x:c>
      <x:c r="H14" s="21" t="str">
        <x:v>Not implemented</x:v>
      </x:c>
      <x:c r="I14" s="21" t="str">
        <x:v>Không hiển thị điểm trước công bố.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92" customHeight="1">
      <x:c r="A15" s="20" t="str">
        <x:v>MOD-011</x:v>
      </x:c>
      <x:c r="B15" s="20" t="str">
        <x:v>Thông báo và lịch sử</x:v>
      </x:c>
      <x:c r="C15" s="21" t="str">
        <x:v>Có NoticeBoard frontend và thông báo seed; chưa có notification DB/API/chuông.</x:v>
      </x:c>
      <x:c r="D15" s="21" t="str">
        <x:v>Gửi, nhận, đã đọc, lịch sử sự kiện.</x:v>
      </x:c>
      <x:c r="E15" s="21" t="str">
        <x:v>app/frontend/src/features/rounds/components/NoticeBoard.tsx; app/frontend/src/features/rounds/services/roundService.ts</x:v>
      </x:c>
      <x:c r="F15" s="21" t="str">
        <x:v>Dữ liệu demo không bền vững; thiếu phạm vi người nhận.</x:v>
      </x:c>
      <x:c r="G15" s="21" t="str">
        <x:v>Mô hình người nhận và sự kiện, nối API.</x:v>
      </x:c>
      <x:c r="H15" s="21" t="str">
        <x:v>Frontend demo only</x:v>
      </x:c>
      <x:c r="I15" s="21" t="str">
        <x:v>Truy vết các thay đổi nghiệp vụ là yêu cầu.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92" customHeight="1">
      <x:c r="A16" s="20" t="str">
        <x:v>MOD-012</x:v>
      </x:c>
      <x:c r="B16" s="20" t="str">
        <x:v>Trang chủ, thống kê và kiểm chứng</x:v>
      </x:c>
      <x:c r="C16" s="21" t="str">
        <x:v>Có RoundHomePage/Gantt frontend và CI, backend/frontend tests; nhiều số dùng seed.</x:v>
      </x:c>
      <x:c r="D16" s="21" t="str">
        <x:v>Dashboard thật, thống kê, kiểm thử end-to-end, rà migration/deploy.</x:v>
      </x:c>
      <x:c r="E16" s="21" t="str">
        <x:v>app/frontend/src/features/rounds/components/RoundHomePage.tsx; .github/workflows/ci.yml; app/backend/tests/Backend.Tests/</x:v>
      </x:c>
      <x:c r="F16" s="21" t="str">
        <x:v>Chưa có bằng chứng run test lần này; OQ-007 chưa chốt số đo.</x:v>
      </x:c>
      <x:c r="G16" s="21" t="str">
        <x:v>Tích hợp dữ liệu thật và kiểm chứng CI/local.</x:v>
      </x:c>
      <x:c r="H16" s="21" t="str">
        <x:v>Code and tests present; not executed</x:v>
      </x:c>
      <x:c r="I16" s="21" t="str">
        <x:v>Không tự áp dụng migration lên Neon.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</x:sheetData>
  <x:pageMargins left="0.7" right="0.7" top="0.75" bottom="0.75" header="0.3" footer="0.3"/>
  <x:tableParts count="1">
    <x:tablePart xmlns:r="http://schemas.openxmlformats.org/officeDocument/2006/relationships" r:id="R3abd406ba31947d4"/>
  </x:tableParts>
</x:worksheet>
</file>